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1"/>
  <workbookPr hidePivotFieldList="1"/>
  <mc:AlternateContent xmlns:mc="http://schemas.openxmlformats.org/markup-compatibility/2006">
    <mc:Choice Requires="x15">
      <x15ac:absPath xmlns:x15ac="http://schemas.microsoft.com/office/spreadsheetml/2010/11/ac" url="https://o365osan-my.sharepoint.com/personal/2014173_portal_osan_ac_kr/Documents/Research/20210917 [KIPE]논문작성/참고자료/"/>
    </mc:Choice>
  </mc:AlternateContent>
  <xr:revisionPtr revIDLastSave="3" documentId="11_0BDC626E70C81B00F6D7808534F2309FC517B916" xr6:coauthVersionLast="47" xr6:coauthVersionMax="47" xr10:uidLastSave="{7B7C3FE6-DE79-2040-B968-25515EFA4E40}"/>
  <bookViews>
    <workbookView xWindow="0" yWindow="500" windowWidth="25600" windowHeight="28300" activeTab="2" xr2:uid="{00000000-000D-0000-FFFF-FFFF00000000}"/>
  </bookViews>
  <sheets>
    <sheet name="(검증1)이상치 검정" sheetId="6" r:id="rId1"/>
    <sheet name="(검증2)개별 Trend Chart" sheetId="7" r:id="rId2"/>
    <sheet name="01 정보1" sheetId="2" r:id="rId3"/>
    <sheet name="02 정보2" sheetId="3" r:id="rId4"/>
  </sheets>
  <definedNames>
    <definedName name="_xlnm._FilterDatabase" localSheetId="2" hidden="1">'01 정보1'!$A$1:$F$345</definedName>
    <definedName name="_xlnm._FilterDatabase" localSheetId="3" hidden="1">'02 정보2'!$A$1:$F$257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3" i="7" l="1"/>
  <c r="G53" i="7"/>
  <c r="F54" i="7"/>
  <c r="G54" i="7"/>
  <c r="F55" i="7"/>
  <c r="G55" i="7"/>
  <c r="F56" i="7"/>
  <c r="G56" i="7"/>
  <c r="F57" i="7"/>
  <c r="G57" i="7"/>
  <c r="F58" i="7"/>
  <c r="G58" i="7"/>
  <c r="F59" i="7"/>
  <c r="G59" i="7"/>
  <c r="F60" i="7"/>
  <c r="G60" i="7"/>
  <c r="F61" i="7"/>
  <c r="G61" i="7"/>
  <c r="F62" i="7"/>
  <c r="G62" i="7"/>
  <c r="F63" i="7"/>
  <c r="G63" i="7"/>
  <c r="F64" i="7"/>
  <c r="G64" i="7"/>
  <c r="F65" i="7"/>
  <c r="G65" i="7"/>
  <c r="F66" i="7"/>
  <c r="G66" i="7"/>
  <c r="F67" i="7"/>
  <c r="G67" i="7"/>
  <c r="F68" i="7"/>
  <c r="G68" i="7"/>
  <c r="F69" i="7"/>
  <c r="G69" i="7"/>
  <c r="F70" i="7"/>
  <c r="G70" i="7"/>
  <c r="F71" i="7"/>
  <c r="G71" i="7"/>
  <c r="F72" i="7"/>
  <c r="G72" i="7"/>
  <c r="F73" i="7"/>
  <c r="G73" i="7"/>
  <c r="F74" i="7"/>
  <c r="G74" i="7"/>
  <c r="F75" i="7"/>
  <c r="G75" i="7"/>
  <c r="F76" i="7"/>
  <c r="G76" i="7"/>
  <c r="F77" i="7"/>
  <c r="G77" i="7"/>
  <c r="F78" i="7"/>
  <c r="G78" i="7"/>
  <c r="F79" i="7"/>
  <c r="G79" i="7"/>
  <c r="F80" i="7"/>
  <c r="G80" i="7"/>
  <c r="F81" i="7"/>
  <c r="G81" i="7"/>
  <c r="F82" i="7"/>
  <c r="G82" i="7"/>
  <c r="F83" i="7"/>
  <c r="G83" i="7"/>
  <c r="F84" i="7"/>
  <c r="G84" i="7"/>
  <c r="F85" i="7"/>
  <c r="G85" i="7"/>
  <c r="F86" i="7"/>
  <c r="G86" i="7"/>
  <c r="F87" i="7"/>
  <c r="G87" i="7"/>
  <c r="F88" i="7"/>
  <c r="G88" i="7"/>
  <c r="F89" i="7"/>
  <c r="G89" i="7"/>
  <c r="F90" i="7"/>
  <c r="G90" i="7"/>
  <c r="F91" i="7"/>
  <c r="G91" i="7"/>
  <c r="F92" i="7"/>
  <c r="G92" i="7"/>
  <c r="F93" i="7"/>
  <c r="G93" i="7"/>
  <c r="F94" i="7"/>
  <c r="G94" i="7"/>
  <c r="F95" i="7"/>
  <c r="G95" i="7"/>
  <c r="F96" i="7"/>
  <c r="G96" i="7"/>
  <c r="F97" i="7"/>
  <c r="G97" i="7"/>
  <c r="F98" i="7"/>
  <c r="G98" i="7"/>
  <c r="F99" i="7"/>
  <c r="G99" i="7"/>
  <c r="F100" i="7"/>
  <c r="G100" i="7"/>
  <c r="F101" i="7"/>
  <c r="G101" i="7"/>
  <c r="F102" i="7"/>
  <c r="G102" i="7"/>
  <c r="F103" i="7"/>
  <c r="G103" i="7"/>
  <c r="F104" i="7"/>
  <c r="G104" i="7"/>
  <c r="F105" i="7"/>
  <c r="G105" i="7"/>
  <c r="F106" i="7"/>
  <c r="G106" i="7"/>
  <c r="F107" i="7"/>
  <c r="G107" i="7"/>
  <c r="F108" i="7"/>
  <c r="G108" i="7"/>
  <c r="F109" i="7"/>
  <c r="G109" i="7"/>
  <c r="F110" i="7"/>
  <c r="G110" i="7"/>
  <c r="F111" i="7"/>
  <c r="G111" i="7"/>
  <c r="F112" i="7"/>
  <c r="G112" i="7"/>
  <c r="F113" i="7"/>
  <c r="G113" i="7"/>
  <c r="F114" i="7"/>
  <c r="G114" i="7"/>
  <c r="F115" i="7"/>
  <c r="G115" i="7"/>
  <c r="G52" i="7"/>
  <c r="F52" i="7"/>
  <c r="A53" i="7"/>
  <c r="B53" i="7"/>
  <c r="A54" i="7"/>
  <c r="B54" i="7"/>
  <c r="A55" i="7"/>
  <c r="B55" i="7"/>
  <c r="A56" i="7"/>
  <c r="B56" i="7"/>
  <c r="A57" i="7"/>
  <c r="B57" i="7"/>
  <c r="A58" i="7"/>
  <c r="B58" i="7"/>
  <c r="A59" i="7"/>
  <c r="B59" i="7"/>
  <c r="A60" i="7"/>
  <c r="B60" i="7"/>
  <c r="A61" i="7"/>
  <c r="B61" i="7"/>
  <c r="A62" i="7"/>
  <c r="B62" i="7"/>
  <c r="A63" i="7"/>
  <c r="B63" i="7"/>
  <c r="A64" i="7"/>
  <c r="B64" i="7"/>
  <c r="A65" i="7"/>
  <c r="B65" i="7"/>
  <c r="A66" i="7"/>
  <c r="B66" i="7"/>
  <c r="A67" i="7"/>
  <c r="B67" i="7"/>
  <c r="A68" i="7"/>
  <c r="B68" i="7"/>
  <c r="A69" i="7"/>
  <c r="B69" i="7"/>
  <c r="A70" i="7"/>
  <c r="B70" i="7"/>
  <c r="A71" i="7"/>
  <c r="B71" i="7"/>
  <c r="A72" i="7"/>
  <c r="B72" i="7"/>
  <c r="A73" i="7"/>
  <c r="B73" i="7"/>
  <c r="A74" i="7"/>
  <c r="B74" i="7"/>
  <c r="A75" i="7"/>
  <c r="B75" i="7"/>
  <c r="A76" i="7"/>
  <c r="B76" i="7"/>
  <c r="A77" i="7"/>
  <c r="B77" i="7"/>
  <c r="A78" i="7"/>
  <c r="B78" i="7"/>
  <c r="A79" i="7"/>
  <c r="B79" i="7"/>
  <c r="A80" i="7"/>
  <c r="B80" i="7"/>
  <c r="A81" i="7"/>
  <c r="B81" i="7"/>
  <c r="A82" i="7"/>
  <c r="B82" i="7"/>
  <c r="A83" i="7"/>
  <c r="B83" i="7"/>
  <c r="A84" i="7"/>
  <c r="B84" i="7"/>
  <c r="A85" i="7"/>
  <c r="B85" i="7"/>
  <c r="A86" i="7"/>
  <c r="B86" i="7"/>
  <c r="A87" i="7"/>
  <c r="B87" i="7"/>
  <c r="A88" i="7"/>
  <c r="B88" i="7"/>
  <c r="A89" i="7"/>
  <c r="B89" i="7"/>
  <c r="A90" i="7"/>
  <c r="B90" i="7"/>
  <c r="A91" i="7"/>
  <c r="B91" i="7"/>
  <c r="A92" i="7"/>
  <c r="B92" i="7"/>
  <c r="A93" i="7"/>
  <c r="B93" i="7"/>
  <c r="A94" i="7"/>
  <c r="B94" i="7"/>
  <c r="A95" i="7"/>
  <c r="B95" i="7"/>
  <c r="A96" i="7"/>
  <c r="B96" i="7"/>
  <c r="A97" i="7"/>
  <c r="B97" i="7"/>
  <c r="A98" i="7"/>
  <c r="B98" i="7"/>
  <c r="A99" i="7"/>
  <c r="B99" i="7"/>
  <c r="A100" i="7"/>
  <c r="B100" i="7"/>
  <c r="A101" i="7"/>
  <c r="B101" i="7"/>
  <c r="A102" i="7"/>
  <c r="B102" i="7"/>
  <c r="A103" i="7"/>
  <c r="B103" i="7"/>
  <c r="A104" i="7"/>
  <c r="B104" i="7"/>
  <c r="A105" i="7"/>
  <c r="B105" i="7"/>
  <c r="A106" i="7"/>
  <c r="B106" i="7"/>
  <c r="A107" i="7"/>
  <c r="B107" i="7"/>
  <c r="A108" i="7"/>
  <c r="B108" i="7"/>
  <c r="A109" i="7"/>
  <c r="B109" i="7"/>
  <c r="A110" i="7"/>
  <c r="B110" i="7"/>
  <c r="A111" i="7"/>
  <c r="B111" i="7"/>
  <c r="A112" i="7"/>
  <c r="B112" i="7"/>
  <c r="A113" i="7"/>
  <c r="B113" i="7"/>
  <c r="A114" i="7"/>
  <c r="B114" i="7"/>
  <c r="A115" i="7"/>
  <c r="B115" i="7"/>
  <c r="A116" i="7"/>
  <c r="B116" i="7"/>
  <c r="A117" i="7"/>
  <c r="B117" i="7"/>
  <c r="A118" i="7"/>
  <c r="B118" i="7"/>
  <c r="A119" i="7"/>
  <c r="B119" i="7"/>
  <c r="A120" i="7"/>
  <c r="B120" i="7"/>
  <c r="A121" i="7"/>
  <c r="B121" i="7"/>
  <c r="A122" i="7"/>
  <c r="B122" i="7"/>
  <c r="A123" i="7"/>
  <c r="B123" i="7"/>
  <c r="A124" i="7"/>
  <c r="B124" i="7"/>
  <c r="A125" i="7"/>
  <c r="B125" i="7"/>
  <c r="A126" i="7"/>
  <c r="B126" i="7"/>
  <c r="A127" i="7"/>
  <c r="B127" i="7"/>
  <c r="A128" i="7"/>
  <c r="B128" i="7"/>
  <c r="A129" i="7"/>
  <c r="B129" i="7"/>
  <c r="A130" i="7"/>
  <c r="B130" i="7"/>
  <c r="A131" i="7"/>
  <c r="B131" i="7"/>
  <c r="A132" i="7"/>
  <c r="B132" i="7"/>
  <c r="A133" i="7"/>
  <c r="B133" i="7"/>
  <c r="A134" i="7"/>
  <c r="B134" i="7"/>
  <c r="A135" i="7"/>
  <c r="B135" i="7"/>
  <c r="A136" i="7"/>
  <c r="B136" i="7"/>
  <c r="A137" i="7"/>
  <c r="B137" i="7"/>
  <c r="B52" i="7"/>
  <c r="A52" i="7"/>
  <c r="N22" i="6"/>
  <c r="N15" i="6"/>
  <c r="G11" i="6"/>
  <c r="G10" i="6"/>
  <c r="G9" i="6"/>
  <c r="G8" i="6"/>
  <c r="G6" i="6"/>
  <c r="G5" i="6"/>
  <c r="G4" i="6"/>
  <c r="G3" i="6"/>
  <c r="F11" i="6"/>
  <c r="F26" i="6" s="1"/>
  <c r="E11" i="6"/>
  <c r="D11" i="6"/>
  <c r="D26" i="6" s="1"/>
  <c r="F10" i="6"/>
  <c r="E10" i="6"/>
  <c r="D10" i="6"/>
  <c r="D23" i="6" s="1"/>
  <c r="F9" i="6"/>
  <c r="F20" i="6" s="1"/>
  <c r="E9" i="6"/>
  <c r="D9" i="6"/>
  <c r="D20" i="6" s="1"/>
  <c r="F8" i="6"/>
  <c r="E8" i="6"/>
  <c r="E17" i="6" s="1"/>
  <c r="E7" i="3"/>
  <c r="D8" i="6"/>
  <c r="D17" i="6" s="1"/>
  <c r="F6" i="6"/>
  <c r="F25" i="6" s="1"/>
  <c r="E6" i="6"/>
  <c r="F5" i="6"/>
  <c r="F22" i="6" s="1"/>
  <c r="E5" i="6"/>
  <c r="F3" i="6"/>
  <c r="F16" i="6" s="1"/>
  <c r="F4" i="6"/>
  <c r="F19" i="6" s="1"/>
  <c r="E4" i="6"/>
  <c r="E3" i="6"/>
  <c r="E16" i="6" s="1"/>
  <c r="D6" i="6"/>
  <c r="D25" i="6" s="1"/>
  <c r="D5" i="6"/>
  <c r="D22" i="6" s="1"/>
  <c r="D4" i="6"/>
  <c r="D19" i="6" s="1"/>
  <c r="D3" i="6"/>
  <c r="D16" i="6" s="1"/>
  <c r="F17" i="6" l="1"/>
  <c r="G16" i="6" s="1"/>
  <c r="I16" i="6" s="1"/>
  <c r="G3" i="3"/>
  <c r="H3" i="3" s="1"/>
  <c r="G5" i="3"/>
  <c r="G7" i="3"/>
  <c r="H7" i="3" s="1"/>
  <c r="G9" i="3"/>
  <c r="H9" i="3" s="1"/>
  <c r="G11" i="3"/>
  <c r="H11" i="3" s="1"/>
  <c r="G13" i="3"/>
  <c r="G15" i="3"/>
  <c r="H15" i="3" s="1"/>
  <c r="G17" i="3"/>
  <c r="H17" i="3" s="1"/>
  <c r="G19" i="3"/>
  <c r="H19" i="3" s="1"/>
  <c r="G21" i="3"/>
  <c r="G23" i="3"/>
  <c r="H23" i="3" s="1"/>
  <c r="G25" i="3"/>
  <c r="H25" i="3" s="1"/>
  <c r="G27" i="3"/>
  <c r="H27" i="3" s="1"/>
  <c r="G29" i="3"/>
  <c r="H29" i="3" s="1"/>
  <c r="G31" i="3"/>
  <c r="H31" i="3" s="1"/>
  <c r="G33" i="3"/>
  <c r="H33" i="3" s="1"/>
  <c r="G35" i="3"/>
  <c r="H35" i="3" s="1"/>
  <c r="G37" i="3"/>
  <c r="G39" i="3"/>
  <c r="H39" i="3" s="1"/>
  <c r="G41" i="3"/>
  <c r="H41" i="3" s="1"/>
  <c r="G43" i="3"/>
  <c r="H43" i="3" s="1"/>
  <c r="G45" i="3"/>
  <c r="G47" i="3"/>
  <c r="H47" i="3" s="1"/>
  <c r="G49" i="3"/>
  <c r="H49" i="3" s="1"/>
  <c r="G51" i="3"/>
  <c r="H51" i="3" s="1"/>
  <c r="G53" i="3"/>
  <c r="G55" i="3"/>
  <c r="H55" i="3" s="1"/>
  <c r="G57" i="3"/>
  <c r="H57" i="3" s="1"/>
  <c r="G67" i="3"/>
  <c r="H67" i="3" s="1"/>
  <c r="G69" i="3"/>
  <c r="H69" i="3" s="1"/>
  <c r="G71" i="3"/>
  <c r="H71" i="3" s="1"/>
  <c r="G73" i="3"/>
  <c r="H73" i="3" s="1"/>
  <c r="G75" i="3"/>
  <c r="H75" i="3" s="1"/>
  <c r="G77" i="3"/>
  <c r="G79" i="3"/>
  <c r="H79" i="3" s="1"/>
  <c r="G81" i="3"/>
  <c r="G83" i="3"/>
  <c r="H83" i="3" s="1"/>
  <c r="G85" i="3"/>
  <c r="G87" i="3"/>
  <c r="H87" i="3" s="1"/>
  <c r="G89" i="3"/>
  <c r="H89" i="3" s="1"/>
  <c r="G91" i="3"/>
  <c r="H91" i="3" s="1"/>
  <c r="G93" i="3"/>
  <c r="G95" i="3"/>
  <c r="H95" i="3" s="1"/>
  <c r="G97" i="3"/>
  <c r="G99" i="3"/>
  <c r="H99" i="3" s="1"/>
  <c r="G101" i="3"/>
  <c r="H101" i="3" s="1"/>
  <c r="G103" i="3"/>
  <c r="H103" i="3" s="1"/>
  <c r="G105" i="3"/>
  <c r="H105" i="3" s="1"/>
  <c r="G107" i="3"/>
  <c r="G68" i="3"/>
  <c r="G72" i="3"/>
  <c r="H72" i="3" s="1"/>
  <c r="G76" i="3"/>
  <c r="G80" i="3"/>
  <c r="H80" i="3" s="1"/>
  <c r="G84" i="3"/>
  <c r="H84" i="3" s="1"/>
  <c r="G88" i="3"/>
  <c r="H88" i="3" s="1"/>
  <c r="G92" i="3"/>
  <c r="G96" i="3"/>
  <c r="H96" i="3" s="1"/>
  <c r="G100" i="3"/>
  <c r="H100" i="3" s="1"/>
  <c r="G104" i="3"/>
  <c r="H104" i="3" s="1"/>
  <c r="G108" i="3"/>
  <c r="H108" i="3" s="1"/>
  <c r="G110" i="3"/>
  <c r="H110" i="3" s="1"/>
  <c r="G112" i="3"/>
  <c r="G114" i="3"/>
  <c r="H114" i="3" s="1"/>
  <c r="G116" i="3"/>
  <c r="G118" i="3"/>
  <c r="H118" i="3" s="1"/>
  <c r="G120" i="3"/>
  <c r="H120" i="3" s="1"/>
  <c r="G122" i="3"/>
  <c r="H122" i="3" s="1"/>
  <c r="G124" i="3"/>
  <c r="H124" i="3" s="1"/>
  <c r="G126" i="3"/>
  <c r="G128" i="3"/>
  <c r="G66" i="3"/>
  <c r="H66" i="3" s="1"/>
  <c r="G70" i="3"/>
  <c r="G74" i="3"/>
  <c r="H74" i="3" s="1"/>
  <c r="G78" i="3"/>
  <c r="H78" i="3" s="1"/>
  <c r="G82" i="3"/>
  <c r="H82" i="3" s="1"/>
  <c r="G86" i="3"/>
  <c r="H86" i="3" s="1"/>
  <c r="G90" i="3"/>
  <c r="H90" i="3" s="1"/>
  <c r="G94" i="3"/>
  <c r="H94" i="3" s="1"/>
  <c r="G98" i="3"/>
  <c r="H98" i="3" s="1"/>
  <c r="G102" i="3"/>
  <c r="G106" i="3"/>
  <c r="H106" i="3" s="1"/>
  <c r="G109" i="3"/>
  <c r="G111" i="3"/>
  <c r="G113" i="3"/>
  <c r="H113" i="3" s="1"/>
  <c r="G115" i="3"/>
  <c r="H115" i="3" s="1"/>
  <c r="G117" i="3"/>
  <c r="G119" i="3"/>
  <c r="H119" i="3" s="1"/>
  <c r="G121" i="3"/>
  <c r="G123" i="3"/>
  <c r="H123" i="3" s="1"/>
  <c r="G125" i="3"/>
  <c r="H125" i="3" s="1"/>
  <c r="G127" i="3"/>
  <c r="H127" i="3" s="1"/>
  <c r="G129" i="3"/>
  <c r="H129" i="3" s="1"/>
  <c r="F23" i="6"/>
  <c r="H22" i="6" s="1"/>
  <c r="I23" i="6" s="1"/>
  <c r="G134" i="3"/>
  <c r="H134" i="3" s="1"/>
  <c r="G138" i="3"/>
  <c r="H138" i="3" s="1"/>
  <c r="G142" i="3"/>
  <c r="H142" i="3" s="1"/>
  <c r="G146" i="3"/>
  <c r="H146" i="3" s="1"/>
  <c r="G150" i="3"/>
  <c r="H150" i="3" s="1"/>
  <c r="G154" i="3"/>
  <c r="H154" i="3" s="1"/>
  <c r="G158" i="3"/>
  <c r="H158" i="3" s="1"/>
  <c r="G162" i="3"/>
  <c r="H162" i="3" s="1"/>
  <c r="G166" i="3"/>
  <c r="G170" i="3"/>
  <c r="H170" i="3" s="1"/>
  <c r="G174" i="3"/>
  <c r="G178" i="3"/>
  <c r="H178" i="3" s="1"/>
  <c r="G182" i="3"/>
  <c r="G186" i="3"/>
  <c r="H186" i="3" s="1"/>
  <c r="G190" i="3"/>
  <c r="G130" i="3"/>
  <c r="H130" i="3" s="1"/>
  <c r="G195" i="3"/>
  <c r="H195" i="3" s="1"/>
  <c r="G197" i="3"/>
  <c r="H197" i="3" s="1"/>
  <c r="G199" i="3"/>
  <c r="H199" i="3" s="1"/>
  <c r="G201" i="3"/>
  <c r="H201" i="3" s="1"/>
  <c r="G203" i="3"/>
  <c r="G205" i="3"/>
  <c r="H205" i="3" s="1"/>
  <c r="G207" i="3"/>
  <c r="H207" i="3" s="1"/>
  <c r="G209" i="3"/>
  <c r="H209" i="3" s="1"/>
  <c r="G211" i="3"/>
  <c r="G213" i="3"/>
  <c r="H213" i="3" s="1"/>
  <c r="G215" i="3"/>
  <c r="H215" i="3" s="1"/>
  <c r="G217" i="3"/>
  <c r="H217" i="3" s="1"/>
  <c r="G219" i="3"/>
  <c r="G221" i="3"/>
  <c r="H221" i="3" s="1"/>
  <c r="G223" i="3"/>
  <c r="H223" i="3" s="1"/>
  <c r="G225" i="3"/>
  <c r="H225" i="3" s="1"/>
  <c r="G227" i="3"/>
  <c r="G229" i="3"/>
  <c r="H229" i="3" s="1"/>
  <c r="G231" i="3"/>
  <c r="H231" i="3" s="1"/>
  <c r="G233" i="3"/>
  <c r="H233" i="3" s="1"/>
  <c r="G235" i="3"/>
  <c r="G237" i="3"/>
  <c r="H237" i="3" s="1"/>
  <c r="G239" i="3"/>
  <c r="H239" i="3" s="1"/>
  <c r="G241" i="3"/>
  <c r="H241" i="3" s="1"/>
  <c r="G243" i="3"/>
  <c r="G245" i="3"/>
  <c r="H245" i="3" s="1"/>
  <c r="G247" i="3"/>
  <c r="H247" i="3" s="1"/>
  <c r="G249" i="3"/>
  <c r="H249" i="3" s="1"/>
  <c r="G251" i="3"/>
  <c r="G253" i="3"/>
  <c r="H253" i="3" s="1"/>
  <c r="G255" i="3"/>
  <c r="H255" i="3" s="1"/>
  <c r="G257" i="3"/>
  <c r="H257" i="3" s="1"/>
  <c r="G196" i="3"/>
  <c r="H196" i="3" s="1"/>
  <c r="G200" i="3"/>
  <c r="H200" i="3" s="1"/>
  <c r="G204" i="3"/>
  <c r="G208" i="3"/>
  <c r="H208" i="3" s="1"/>
  <c r="G212" i="3"/>
  <c r="G216" i="3"/>
  <c r="H216" i="3" s="1"/>
  <c r="G220" i="3"/>
  <c r="G224" i="3"/>
  <c r="H224" i="3" s="1"/>
  <c r="G228" i="3"/>
  <c r="G232" i="3"/>
  <c r="H232" i="3" s="1"/>
  <c r="G236" i="3"/>
  <c r="H236" i="3" s="1"/>
  <c r="G240" i="3"/>
  <c r="H240" i="3" s="1"/>
  <c r="G244" i="3"/>
  <c r="H244" i="3" s="1"/>
  <c r="G248" i="3"/>
  <c r="H248" i="3" s="1"/>
  <c r="G252" i="3"/>
  <c r="H252" i="3" s="1"/>
  <c r="G256" i="3"/>
  <c r="H256" i="3" s="1"/>
  <c r="G198" i="3"/>
  <c r="G202" i="3"/>
  <c r="G206" i="3"/>
  <c r="H206" i="3" s="1"/>
  <c r="G210" i="3"/>
  <c r="H210" i="3" s="1"/>
  <c r="G214" i="3"/>
  <c r="H214" i="3" s="1"/>
  <c r="G218" i="3"/>
  <c r="H218" i="3" s="1"/>
  <c r="G222" i="3"/>
  <c r="H222" i="3" s="1"/>
  <c r="G226" i="3"/>
  <c r="H226" i="3" s="1"/>
  <c r="G230" i="3"/>
  <c r="H230" i="3" s="1"/>
  <c r="G234" i="3"/>
  <c r="H234" i="3" s="1"/>
  <c r="G238" i="3"/>
  <c r="G242" i="3"/>
  <c r="H242" i="3" s="1"/>
  <c r="G246" i="3"/>
  <c r="G250" i="3"/>
  <c r="H250" i="3" s="1"/>
  <c r="G254" i="3"/>
  <c r="H254" i="3" s="1"/>
  <c r="G194" i="3"/>
  <c r="H194" i="3" s="1"/>
  <c r="I8" i="6"/>
  <c r="I10" i="6"/>
  <c r="E20" i="6"/>
  <c r="G65" i="3"/>
  <c r="H65" i="3" s="1"/>
  <c r="G61" i="3"/>
  <c r="H61" i="3" s="1"/>
  <c r="E26" i="6"/>
  <c r="G63" i="3"/>
  <c r="H63" i="3" s="1"/>
  <c r="G59" i="3"/>
  <c r="H59" i="3" s="1"/>
  <c r="E23" i="6"/>
  <c r="G131" i="3"/>
  <c r="H131" i="3" s="1"/>
  <c r="G133" i="3"/>
  <c r="H133" i="3" s="1"/>
  <c r="G135" i="3"/>
  <c r="H135" i="3" s="1"/>
  <c r="G137" i="3"/>
  <c r="G139" i="3"/>
  <c r="H139" i="3" s="1"/>
  <c r="G141" i="3"/>
  <c r="H141" i="3" s="1"/>
  <c r="G143" i="3"/>
  <c r="H143" i="3" s="1"/>
  <c r="G145" i="3"/>
  <c r="H145" i="3" s="1"/>
  <c r="G147" i="3"/>
  <c r="H147" i="3" s="1"/>
  <c r="G149" i="3"/>
  <c r="H149" i="3" s="1"/>
  <c r="G151" i="3"/>
  <c r="H151" i="3" s="1"/>
  <c r="G153" i="3"/>
  <c r="G155" i="3"/>
  <c r="H155" i="3" s="1"/>
  <c r="G157" i="3"/>
  <c r="H157" i="3" s="1"/>
  <c r="G159" i="3"/>
  <c r="H159" i="3" s="1"/>
  <c r="G161" i="3"/>
  <c r="H161" i="3" s="1"/>
  <c r="G163" i="3"/>
  <c r="H163" i="3" s="1"/>
  <c r="G165" i="3"/>
  <c r="H165" i="3" s="1"/>
  <c r="G167" i="3"/>
  <c r="H167" i="3" s="1"/>
  <c r="G169" i="3"/>
  <c r="H169" i="3" s="1"/>
  <c r="G171" i="3"/>
  <c r="H171" i="3" s="1"/>
  <c r="G173" i="3"/>
  <c r="H173" i="3" s="1"/>
  <c r="G175" i="3"/>
  <c r="H175" i="3" s="1"/>
  <c r="G177" i="3"/>
  <c r="H177" i="3" s="1"/>
  <c r="G179" i="3"/>
  <c r="H179" i="3" s="1"/>
  <c r="G181" i="3"/>
  <c r="H181" i="3" s="1"/>
  <c r="G183" i="3"/>
  <c r="H183" i="3" s="1"/>
  <c r="G185" i="3"/>
  <c r="G187" i="3"/>
  <c r="H187" i="3" s="1"/>
  <c r="G189" i="3"/>
  <c r="H189" i="3" s="1"/>
  <c r="G191" i="3"/>
  <c r="H191" i="3" s="1"/>
  <c r="G193" i="3"/>
  <c r="I9" i="6"/>
  <c r="I59" i="7" s="1"/>
  <c r="I11" i="6"/>
  <c r="G2" i="3"/>
  <c r="H2" i="3" s="1"/>
  <c r="G64" i="3"/>
  <c r="H64" i="3" s="1"/>
  <c r="G62" i="3"/>
  <c r="H62" i="3" s="1"/>
  <c r="G60" i="3"/>
  <c r="H60" i="3" s="1"/>
  <c r="G58" i="3"/>
  <c r="H58" i="3" s="1"/>
  <c r="G56" i="3"/>
  <c r="H56" i="3" s="1"/>
  <c r="G54" i="3"/>
  <c r="H54" i="3" s="1"/>
  <c r="G52" i="3"/>
  <c r="H52" i="3" s="1"/>
  <c r="G50" i="3"/>
  <c r="H50" i="3" s="1"/>
  <c r="G48" i="3"/>
  <c r="G46" i="3"/>
  <c r="H46" i="3" s="1"/>
  <c r="G44" i="3"/>
  <c r="H44" i="3" s="1"/>
  <c r="G42" i="3"/>
  <c r="H42" i="3" s="1"/>
  <c r="G40" i="3"/>
  <c r="G38" i="3"/>
  <c r="H38" i="3" s="1"/>
  <c r="G36" i="3"/>
  <c r="H36" i="3" s="1"/>
  <c r="G34" i="3"/>
  <c r="H34" i="3" s="1"/>
  <c r="G32" i="3"/>
  <c r="G30" i="3"/>
  <c r="H30" i="3" s="1"/>
  <c r="G28" i="3"/>
  <c r="H28" i="3" s="1"/>
  <c r="G26" i="3"/>
  <c r="H26" i="3" s="1"/>
  <c r="G24" i="3"/>
  <c r="H24" i="3" s="1"/>
  <c r="G22" i="3"/>
  <c r="H22" i="3" s="1"/>
  <c r="G20" i="3"/>
  <c r="H20" i="3" s="1"/>
  <c r="G18" i="3"/>
  <c r="H18" i="3" s="1"/>
  <c r="G16" i="3"/>
  <c r="G14" i="3"/>
  <c r="H14" i="3" s="1"/>
  <c r="G12" i="3"/>
  <c r="H12" i="3" s="1"/>
  <c r="G10" i="3"/>
  <c r="H10" i="3" s="1"/>
  <c r="G8" i="3"/>
  <c r="G6" i="3"/>
  <c r="H6" i="3" s="1"/>
  <c r="G4" i="3"/>
  <c r="H4" i="3" s="1"/>
  <c r="G192" i="3"/>
  <c r="H192" i="3" s="1"/>
  <c r="G188" i="3"/>
  <c r="H188" i="3" s="1"/>
  <c r="G184" i="3"/>
  <c r="H184" i="3" s="1"/>
  <c r="G180" i="3"/>
  <c r="H180" i="3" s="1"/>
  <c r="G176" i="3"/>
  <c r="H176" i="3" s="1"/>
  <c r="G172" i="3"/>
  <c r="H172" i="3" s="1"/>
  <c r="G168" i="3"/>
  <c r="H168" i="3" s="1"/>
  <c r="G164" i="3"/>
  <c r="H164" i="3" s="1"/>
  <c r="G160" i="3"/>
  <c r="G156" i="3"/>
  <c r="G152" i="3"/>
  <c r="H152" i="3" s="1"/>
  <c r="G148" i="3"/>
  <c r="G144" i="3"/>
  <c r="H144" i="3" s="1"/>
  <c r="G140" i="3"/>
  <c r="G136" i="3"/>
  <c r="H136" i="3" s="1"/>
  <c r="G132" i="3"/>
  <c r="I4" i="6"/>
  <c r="D55" i="7" s="1"/>
  <c r="I6" i="6"/>
  <c r="H3" i="6"/>
  <c r="I5" i="6"/>
  <c r="H53" i="3"/>
  <c r="H45" i="3"/>
  <c r="H37" i="3"/>
  <c r="H21" i="3"/>
  <c r="H13" i="3"/>
  <c r="H5" i="3"/>
  <c r="H128" i="3"/>
  <c r="H126" i="3"/>
  <c r="H121" i="3"/>
  <c r="H117" i="3"/>
  <c r="H112" i="3"/>
  <c r="H97" i="3"/>
  <c r="H92" i="3"/>
  <c r="H85" i="3"/>
  <c r="H77" i="3"/>
  <c r="H68" i="3"/>
  <c r="H251" i="3"/>
  <c r="H243" i="3"/>
  <c r="H235" i="3"/>
  <c r="D129" i="7"/>
  <c r="H48" i="3"/>
  <c r="H40" i="3"/>
  <c r="H32" i="3"/>
  <c r="H16" i="3"/>
  <c r="H8" i="3"/>
  <c r="H193" i="3"/>
  <c r="H185" i="3"/>
  <c r="H153" i="3"/>
  <c r="H137" i="3"/>
  <c r="H246" i="3"/>
  <c r="H238" i="3"/>
  <c r="H228" i="3"/>
  <c r="H220" i="3"/>
  <c r="H212" i="3"/>
  <c r="H204" i="3"/>
  <c r="H202" i="3"/>
  <c r="H198" i="3"/>
  <c r="I3" i="6"/>
  <c r="H10" i="6"/>
  <c r="H8" i="6"/>
  <c r="H5" i="6"/>
  <c r="H116" i="3"/>
  <c r="H111" i="3"/>
  <c r="H109" i="3"/>
  <c r="H107" i="3"/>
  <c r="H102" i="3"/>
  <c r="H93" i="3"/>
  <c r="H81" i="3"/>
  <c r="H76" i="3"/>
  <c r="H70" i="3"/>
  <c r="H227" i="3"/>
  <c r="H219" i="3"/>
  <c r="H211" i="3"/>
  <c r="H203" i="3"/>
  <c r="H11" i="6"/>
  <c r="H9" i="6"/>
  <c r="H6" i="6"/>
  <c r="H4" i="6"/>
  <c r="H190" i="3"/>
  <c r="H182" i="3"/>
  <c r="H174" i="3"/>
  <c r="H166" i="3"/>
  <c r="H160" i="3"/>
  <c r="H156" i="3"/>
  <c r="H148" i="3"/>
  <c r="H140" i="3"/>
  <c r="H132" i="3"/>
  <c r="E25" i="6"/>
  <c r="G261" i="2"/>
  <c r="H261" i="2" s="1"/>
  <c r="G262" i="2"/>
  <c r="H262" i="2" s="1"/>
  <c r="G263" i="2"/>
  <c r="H263" i="2" s="1"/>
  <c r="G264" i="2"/>
  <c r="H264" i="2" s="1"/>
  <c r="G265" i="2"/>
  <c r="H265" i="2" s="1"/>
  <c r="G266" i="2"/>
  <c r="H266" i="2" s="1"/>
  <c r="G267" i="2"/>
  <c r="H267" i="2" s="1"/>
  <c r="G268" i="2"/>
  <c r="H268" i="2" s="1"/>
  <c r="G269" i="2"/>
  <c r="H269" i="2" s="1"/>
  <c r="G270" i="2"/>
  <c r="H270" i="2" s="1"/>
  <c r="G271" i="2"/>
  <c r="H271" i="2" s="1"/>
  <c r="G272" i="2"/>
  <c r="H272" i="2" s="1"/>
  <c r="G273" i="2"/>
  <c r="H273" i="2" s="1"/>
  <c r="G274" i="2"/>
  <c r="H274" i="2" s="1"/>
  <c r="G275" i="2"/>
  <c r="H275" i="2" s="1"/>
  <c r="G276" i="2"/>
  <c r="H276" i="2" s="1"/>
  <c r="G277" i="2"/>
  <c r="H277" i="2" s="1"/>
  <c r="G278" i="2"/>
  <c r="H278" i="2" s="1"/>
  <c r="G279" i="2"/>
  <c r="H279" i="2" s="1"/>
  <c r="G280" i="2"/>
  <c r="H280" i="2" s="1"/>
  <c r="G281" i="2"/>
  <c r="H281" i="2" s="1"/>
  <c r="G282" i="2"/>
  <c r="H282" i="2" s="1"/>
  <c r="G283" i="2"/>
  <c r="H283" i="2" s="1"/>
  <c r="G284" i="2"/>
  <c r="H284" i="2" s="1"/>
  <c r="G285" i="2"/>
  <c r="H285" i="2" s="1"/>
  <c r="G286" i="2"/>
  <c r="H286" i="2" s="1"/>
  <c r="G287" i="2"/>
  <c r="H287" i="2" s="1"/>
  <c r="G288" i="2"/>
  <c r="H288" i="2" s="1"/>
  <c r="G289" i="2"/>
  <c r="H289" i="2" s="1"/>
  <c r="G290" i="2"/>
  <c r="H290" i="2" s="1"/>
  <c r="G291" i="2"/>
  <c r="H291" i="2" s="1"/>
  <c r="G292" i="2"/>
  <c r="H292" i="2" s="1"/>
  <c r="G293" i="2"/>
  <c r="H293" i="2" s="1"/>
  <c r="G294" i="2"/>
  <c r="H294" i="2" s="1"/>
  <c r="G295" i="2"/>
  <c r="H295" i="2" s="1"/>
  <c r="G296" i="2"/>
  <c r="H296" i="2" s="1"/>
  <c r="G297" i="2"/>
  <c r="H297" i="2" s="1"/>
  <c r="G298" i="2"/>
  <c r="H298" i="2" s="1"/>
  <c r="G299" i="2"/>
  <c r="H299" i="2" s="1"/>
  <c r="G300" i="2"/>
  <c r="H300" i="2" s="1"/>
  <c r="G301" i="2"/>
  <c r="H301" i="2" s="1"/>
  <c r="G302" i="2"/>
  <c r="H302" i="2" s="1"/>
  <c r="G303" i="2"/>
  <c r="H303" i="2" s="1"/>
  <c r="G304" i="2"/>
  <c r="H304" i="2" s="1"/>
  <c r="G305" i="2"/>
  <c r="H305" i="2" s="1"/>
  <c r="G306" i="2"/>
  <c r="H306" i="2" s="1"/>
  <c r="G307" i="2"/>
  <c r="H307" i="2" s="1"/>
  <c r="G308" i="2"/>
  <c r="H308" i="2" s="1"/>
  <c r="G309" i="2"/>
  <c r="H309" i="2" s="1"/>
  <c r="G310" i="2"/>
  <c r="H310" i="2" s="1"/>
  <c r="G311" i="2"/>
  <c r="H311" i="2" s="1"/>
  <c r="G312" i="2"/>
  <c r="H312" i="2" s="1"/>
  <c r="G313" i="2"/>
  <c r="H313" i="2" s="1"/>
  <c r="G314" i="2"/>
  <c r="H314" i="2" s="1"/>
  <c r="G315" i="2"/>
  <c r="H315" i="2" s="1"/>
  <c r="G316" i="2"/>
  <c r="H316" i="2" s="1"/>
  <c r="G317" i="2"/>
  <c r="H317" i="2" s="1"/>
  <c r="G318" i="2"/>
  <c r="H318" i="2" s="1"/>
  <c r="G319" i="2"/>
  <c r="H319" i="2" s="1"/>
  <c r="G320" i="2"/>
  <c r="H320" i="2" s="1"/>
  <c r="G321" i="2"/>
  <c r="H321" i="2" s="1"/>
  <c r="G322" i="2"/>
  <c r="H322" i="2" s="1"/>
  <c r="G323" i="2"/>
  <c r="H323" i="2" s="1"/>
  <c r="G324" i="2"/>
  <c r="H324" i="2" s="1"/>
  <c r="G325" i="2"/>
  <c r="H325" i="2" s="1"/>
  <c r="G326" i="2"/>
  <c r="H326" i="2" s="1"/>
  <c r="G327" i="2"/>
  <c r="H327" i="2" s="1"/>
  <c r="G328" i="2"/>
  <c r="H328" i="2" s="1"/>
  <c r="G329" i="2"/>
  <c r="H329" i="2" s="1"/>
  <c r="G330" i="2"/>
  <c r="H330" i="2" s="1"/>
  <c r="G331" i="2"/>
  <c r="H331" i="2" s="1"/>
  <c r="G332" i="2"/>
  <c r="H332" i="2" s="1"/>
  <c r="G333" i="2"/>
  <c r="H333" i="2" s="1"/>
  <c r="G334" i="2"/>
  <c r="H334" i="2" s="1"/>
  <c r="G335" i="2"/>
  <c r="H335" i="2" s="1"/>
  <c r="G336" i="2"/>
  <c r="H336" i="2" s="1"/>
  <c r="G337" i="2"/>
  <c r="H337" i="2" s="1"/>
  <c r="G338" i="2"/>
  <c r="H338" i="2" s="1"/>
  <c r="G339" i="2"/>
  <c r="H339" i="2" s="1"/>
  <c r="G340" i="2"/>
  <c r="H340" i="2" s="1"/>
  <c r="G341" i="2"/>
  <c r="H341" i="2" s="1"/>
  <c r="G342" i="2"/>
  <c r="H342" i="2" s="1"/>
  <c r="G343" i="2"/>
  <c r="H343" i="2" s="1"/>
  <c r="G344" i="2"/>
  <c r="H344" i="2" s="1"/>
  <c r="G345" i="2"/>
  <c r="H345" i="2" s="1"/>
  <c r="E22" i="6"/>
  <c r="G175" i="2"/>
  <c r="H175" i="2" s="1"/>
  <c r="G176" i="2"/>
  <c r="H176" i="2" s="1"/>
  <c r="G177" i="2"/>
  <c r="H177" i="2" s="1"/>
  <c r="G178" i="2"/>
  <c r="H178" i="2" s="1"/>
  <c r="G179" i="2"/>
  <c r="H179" i="2" s="1"/>
  <c r="G180" i="2"/>
  <c r="H180" i="2" s="1"/>
  <c r="G181" i="2"/>
  <c r="H181" i="2" s="1"/>
  <c r="G182" i="2"/>
  <c r="H182" i="2" s="1"/>
  <c r="G183" i="2"/>
  <c r="H183" i="2" s="1"/>
  <c r="G184" i="2"/>
  <c r="H184" i="2" s="1"/>
  <c r="G185" i="2"/>
  <c r="H185" i="2" s="1"/>
  <c r="G186" i="2"/>
  <c r="H186" i="2" s="1"/>
  <c r="G187" i="2"/>
  <c r="H187" i="2" s="1"/>
  <c r="G188" i="2"/>
  <c r="H188" i="2" s="1"/>
  <c r="G189" i="2"/>
  <c r="H189" i="2" s="1"/>
  <c r="G190" i="2"/>
  <c r="H190" i="2" s="1"/>
  <c r="G191" i="2"/>
  <c r="H191" i="2" s="1"/>
  <c r="G192" i="2"/>
  <c r="H192" i="2" s="1"/>
  <c r="G193" i="2"/>
  <c r="H193" i="2" s="1"/>
  <c r="G194" i="2"/>
  <c r="H194" i="2" s="1"/>
  <c r="G195" i="2"/>
  <c r="H195" i="2" s="1"/>
  <c r="G196" i="2"/>
  <c r="H196" i="2" s="1"/>
  <c r="G197" i="2"/>
  <c r="H197" i="2" s="1"/>
  <c r="G198" i="2"/>
  <c r="H198" i="2" s="1"/>
  <c r="G199" i="2"/>
  <c r="H199" i="2" s="1"/>
  <c r="G200" i="2"/>
  <c r="H200" i="2" s="1"/>
  <c r="G201" i="2"/>
  <c r="H201" i="2" s="1"/>
  <c r="G202" i="2"/>
  <c r="H202" i="2" s="1"/>
  <c r="G203" i="2"/>
  <c r="H203" i="2" s="1"/>
  <c r="G204" i="2"/>
  <c r="H204" i="2" s="1"/>
  <c r="G205" i="2"/>
  <c r="H205" i="2" s="1"/>
  <c r="G206" i="2"/>
  <c r="H206" i="2" s="1"/>
  <c r="G207" i="2"/>
  <c r="H207" i="2" s="1"/>
  <c r="G208" i="2"/>
  <c r="H208" i="2" s="1"/>
  <c r="G209" i="2"/>
  <c r="H209" i="2" s="1"/>
  <c r="G210" i="2"/>
  <c r="H210" i="2" s="1"/>
  <c r="G211" i="2"/>
  <c r="H211" i="2" s="1"/>
  <c r="G212" i="2"/>
  <c r="H212" i="2" s="1"/>
  <c r="G213" i="2"/>
  <c r="H213" i="2" s="1"/>
  <c r="G214" i="2"/>
  <c r="H214" i="2" s="1"/>
  <c r="G215" i="2"/>
  <c r="H215" i="2" s="1"/>
  <c r="G216" i="2"/>
  <c r="H216" i="2" s="1"/>
  <c r="G217" i="2"/>
  <c r="H217" i="2" s="1"/>
  <c r="G218" i="2"/>
  <c r="H218" i="2" s="1"/>
  <c r="G219" i="2"/>
  <c r="H219" i="2" s="1"/>
  <c r="G220" i="2"/>
  <c r="H220" i="2" s="1"/>
  <c r="G221" i="2"/>
  <c r="H221" i="2" s="1"/>
  <c r="G222" i="2"/>
  <c r="H222" i="2" s="1"/>
  <c r="G223" i="2"/>
  <c r="H223" i="2" s="1"/>
  <c r="G224" i="2"/>
  <c r="H224" i="2" s="1"/>
  <c r="G225" i="2"/>
  <c r="H225" i="2" s="1"/>
  <c r="G226" i="2"/>
  <c r="H226" i="2" s="1"/>
  <c r="G227" i="2"/>
  <c r="H227" i="2" s="1"/>
  <c r="G228" i="2"/>
  <c r="H228" i="2" s="1"/>
  <c r="G229" i="2"/>
  <c r="H229" i="2" s="1"/>
  <c r="G230" i="2"/>
  <c r="H230" i="2" s="1"/>
  <c r="G231" i="2"/>
  <c r="H231" i="2" s="1"/>
  <c r="G232" i="2"/>
  <c r="H232" i="2" s="1"/>
  <c r="G233" i="2"/>
  <c r="H233" i="2" s="1"/>
  <c r="G234" i="2"/>
  <c r="H234" i="2" s="1"/>
  <c r="G235" i="2"/>
  <c r="H235" i="2" s="1"/>
  <c r="G236" i="2"/>
  <c r="H236" i="2" s="1"/>
  <c r="G237" i="2"/>
  <c r="H237" i="2" s="1"/>
  <c r="G238" i="2"/>
  <c r="H238" i="2" s="1"/>
  <c r="G239" i="2"/>
  <c r="H239" i="2" s="1"/>
  <c r="G240" i="2"/>
  <c r="H240" i="2" s="1"/>
  <c r="G241" i="2"/>
  <c r="H241" i="2" s="1"/>
  <c r="G242" i="2"/>
  <c r="H242" i="2" s="1"/>
  <c r="G243" i="2"/>
  <c r="H243" i="2" s="1"/>
  <c r="G244" i="2"/>
  <c r="H244" i="2" s="1"/>
  <c r="G245" i="2"/>
  <c r="H245" i="2" s="1"/>
  <c r="G246" i="2"/>
  <c r="H246" i="2" s="1"/>
  <c r="G247" i="2"/>
  <c r="H247" i="2" s="1"/>
  <c r="G248" i="2"/>
  <c r="H248" i="2" s="1"/>
  <c r="G249" i="2"/>
  <c r="H249" i="2" s="1"/>
  <c r="G250" i="2"/>
  <c r="H250" i="2" s="1"/>
  <c r="G251" i="2"/>
  <c r="H251" i="2" s="1"/>
  <c r="G252" i="2"/>
  <c r="H252" i="2" s="1"/>
  <c r="G253" i="2"/>
  <c r="H253" i="2" s="1"/>
  <c r="G254" i="2"/>
  <c r="H254" i="2" s="1"/>
  <c r="G255" i="2"/>
  <c r="H255" i="2" s="1"/>
  <c r="G256" i="2"/>
  <c r="H256" i="2" s="1"/>
  <c r="G257" i="2"/>
  <c r="H257" i="2" s="1"/>
  <c r="G258" i="2"/>
  <c r="H258" i="2" s="1"/>
  <c r="G259" i="2"/>
  <c r="H259" i="2" s="1"/>
  <c r="E19" i="6"/>
  <c r="G19" i="6" s="1"/>
  <c r="G89" i="2"/>
  <c r="H89" i="2" s="1"/>
  <c r="G91" i="2"/>
  <c r="H91" i="2" s="1"/>
  <c r="G93" i="2"/>
  <c r="H93" i="2" s="1"/>
  <c r="G95" i="2"/>
  <c r="H95" i="2" s="1"/>
  <c r="G97" i="2"/>
  <c r="H97" i="2" s="1"/>
  <c r="G99" i="2"/>
  <c r="H99" i="2" s="1"/>
  <c r="G101" i="2"/>
  <c r="H101" i="2" s="1"/>
  <c r="G103" i="2"/>
  <c r="H103" i="2" s="1"/>
  <c r="G105" i="2"/>
  <c r="H105" i="2" s="1"/>
  <c r="G107" i="2"/>
  <c r="H107" i="2" s="1"/>
  <c r="G109" i="2"/>
  <c r="H109" i="2" s="1"/>
  <c r="G111" i="2"/>
  <c r="H111" i="2" s="1"/>
  <c r="G113" i="2"/>
  <c r="H113" i="2" s="1"/>
  <c r="G115" i="2"/>
  <c r="H115" i="2" s="1"/>
  <c r="G117" i="2"/>
  <c r="H117" i="2" s="1"/>
  <c r="G119" i="2"/>
  <c r="H119" i="2" s="1"/>
  <c r="G121" i="2"/>
  <c r="H121" i="2" s="1"/>
  <c r="G123" i="2"/>
  <c r="H123" i="2" s="1"/>
  <c r="G125" i="2"/>
  <c r="H125" i="2" s="1"/>
  <c r="G127" i="2"/>
  <c r="H127" i="2" s="1"/>
  <c r="G129" i="2"/>
  <c r="H129" i="2" s="1"/>
  <c r="G131" i="2"/>
  <c r="H131" i="2" s="1"/>
  <c r="G133" i="2"/>
  <c r="H133" i="2" s="1"/>
  <c r="G135" i="2"/>
  <c r="H135" i="2" s="1"/>
  <c r="G137" i="2"/>
  <c r="H137" i="2" s="1"/>
  <c r="G139" i="2"/>
  <c r="H139" i="2" s="1"/>
  <c r="G141" i="2"/>
  <c r="H141" i="2" s="1"/>
  <c r="G143" i="2"/>
  <c r="H143" i="2" s="1"/>
  <c r="G145" i="2"/>
  <c r="H145" i="2" s="1"/>
  <c r="G147" i="2"/>
  <c r="H147" i="2" s="1"/>
  <c r="G149" i="2"/>
  <c r="H149" i="2" s="1"/>
  <c r="G151" i="2"/>
  <c r="H151" i="2" s="1"/>
  <c r="G153" i="2"/>
  <c r="H153" i="2" s="1"/>
  <c r="G155" i="2"/>
  <c r="H155" i="2" s="1"/>
  <c r="G157" i="2"/>
  <c r="H157" i="2" s="1"/>
  <c r="G159" i="2"/>
  <c r="H159" i="2" s="1"/>
  <c r="G161" i="2"/>
  <c r="H161" i="2" s="1"/>
  <c r="G163" i="2"/>
  <c r="H163" i="2" s="1"/>
  <c r="G165" i="2"/>
  <c r="H165" i="2" s="1"/>
  <c r="G167" i="2"/>
  <c r="H167" i="2" s="1"/>
  <c r="G169" i="2"/>
  <c r="H169" i="2" s="1"/>
  <c r="G171" i="2"/>
  <c r="H171" i="2" s="1"/>
  <c r="G173" i="2"/>
  <c r="H173" i="2" s="1"/>
  <c r="G90" i="2"/>
  <c r="H90" i="2" s="1"/>
  <c r="G92" i="2"/>
  <c r="H92" i="2" s="1"/>
  <c r="G94" i="2"/>
  <c r="H94" i="2" s="1"/>
  <c r="G96" i="2"/>
  <c r="H96" i="2" s="1"/>
  <c r="G98" i="2"/>
  <c r="H98" i="2" s="1"/>
  <c r="G100" i="2"/>
  <c r="H100" i="2" s="1"/>
  <c r="G102" i="2"/>
  <c r="H102" i="2" s="1"/>
  <c r="G104" i="2"/>
  <c r="H104" i="2" s="1"/>
  <c r="G106" i="2"/>
  <c r="H106" i="2" s="1"/>
  <c r="G108" i="2"/>
  <c r="H108" i="2" s="1"/>
  <c r="G110" i="2"/>
  <c r="H110" i="2" s="1"/>
  <c r="G112" i="2"/>
  <c r="H112" i="2" s="1"/>
  <c r="G114" i="2"/>
  <c r="H114" i="2" s="1"/>
  <c r="G116" i="2"/>
  <c r="H116" i="2" s="1"/>
  <c r="G118" i="2"/>
  <c r="H118" i="2" s="1"/>
  <c r="G120" i="2"/>
  <c r="H120" i="2" s="1"/>
  <c r="G122" i="2"/>
  <c r="H122" i="2" s="1"/>
  <c r="G124" i="2"/>
  <c r="H124" i="2" s="1"/>
  <c r="G126" i="2"/>
  <c r="H126" i="2" s="1"/>
  <c r="G128" i="2"/>
  <c r="H128" i="2" s="1"/>
  <c r="G130" i="2"/>
  <c r="H130" i="2" s="1"/>
  <c r="G132" i="2"/>
  <c r="H132" i="2" s="1"/>
  <c r="G134" i="2"/>
  <c r="H134" i="2" s="1"/>
  <c r="G136" i="2"/>
  <c r="H136" i="2" s="1"/>
  <c r="G138" i="2"/>
  <c r="H138" i="2" s="1"/>
  <c r="G140" i="2"/>
  <c r="H140" i="2" s="1"/>
  <c r="G142" i="2"/>
  <c r="H142" i="2" s="1"/>
  <c r="G144" i="2"/>
  <c r="H144" i="2" s="1"/>
  <c r="G146" i="2"/>
  <c r="H146" i="2" s="1"/>
  <c r="G148" i="2"/>
  <c r="H148" i="2" s="1"/>
  <c r="G150" i="2"/>
  <c r="H150" i="2" s="1"/>
  <c r="G152" i="2"/>
  <c r="H152" i="2" s="1"/>
  <c r="G154" i="2"/>
  <c r="H154" i="2" s="1"/>
  <c r="G156" i="2"/>
  <c r="H156" i="2" s="1"/>
  <c r="G158" i="2"/>
  <c r="H158" i="2" s="1"/>
  <c r="G160" i="2"/>
  <c r="H160" i="2" s="1"/>
  <c r="G162" i="2"/>
  <c r="H162" i="2" s="1"/>
  <c r="G164" i="2"/>
  <c r="H164" i="2" s="1"/>
  <c r="G166" i="2"/>
  <c r="H166" i="2" s="1"/>
  <c r="G168" i="2"/>
  <c r="H168" i="2" s="1"/>
  <c r="G170" i="2"/>
  <c r="H170" i="2" s="1"/>
  <c r="G172" i="2"/>
  <c r="H172" i="2" s="1"/>
  <c r="H19" i="6"/>
  <c r="I20" i="6" s="1"/>
  <c r="H16" i="6"/>
  <c r="I17" i="6" s="1"/>
  <c r="H25" i="6"/>
  <c r="I26" i="6" s="1"/>
  <c r="I115" i="7" l="1"/>
  <c r="I99" i="7"/>
  <c r="I83" i="7"/>
  <c r="G22" i="6"/>
  <c r="I67" i="7"/>
  <c r="D125" i="7"/>
  <c r="D121" i="7"/>
  <c r="D117" i="7"/>
  <c r="D105" i="7"/>
  <c r="D77" i="7"/>
  <c r="D97" i="7"/>
  <c r="D93" i="7"/>
  <c r="D89" i="7"/>
  <c r="D85" i="7"/>
  <c r="D81" i="7"/>
  <c r="D137" i="7"/>
  <c r="D73" i="7"/>
  <c r="D133" i="7"/>
  <c r="D69" i="7"/>
  <c r="G25" i="6"/>
  <c r="I25" i="6" s="1"/>
  <c r="D65" i="7"/>
  <c r="D61" i="7"/>
  <c r="D57" i="7"/>
  <c r="D53" i="7"/>
  <c r="D113" i="7"/>
  <c r="D109" i="7"/>
  <c r="D101" i="7"/>
  <c r="I107" i="7"/>
  <c r="I91" i="7"/>
  <c r="I75" i="7"/>
  <c r="D135" i="7"/>
  <c r="D131" i="7"/>
  <c r="D127" i="7"/>
  <c r="D123" i="7"/>
  <c r="D119" i="7"/>
  <c r="D115" i="7"/>
  <c r="D111" i="7"/>
  <c r="D107" i="7"/>
  <c r="D103" i="7"/>
  <c r="D99" i="7"/>
  <c r="D95" i="7"/>
  <c r="D91" i="7"/>
  <c r="D87" i="7"/>
  <c r="D83" i="7"/>
  <c r="D79" i="7"/>
  <c r="D75" i="7"/>
  <c r="D71" i="7"/>
  <c r="D67" i="7"/>
  <c r="D63" i="7"/>
  <c r="D59" i="7"/>
  <c r="D54" i="7"/>
  <c r="I19" i="6"/>
  <c r="I22" i="6"/>
  <c r="I54" i="7"/>
  <c r="I111" i="7"/>
  <c r="I103" i="7"/>
  <c r="I95" i="7"/>
  <c r="I87" i="7"/>
  <c r="I79" i="7"/>
  <c r="I71" i="7"/>
  <c r="I63" i="7"/>
  <c r="I55" i="7"/>
  <c r="I113" i="7"/>
  <c r="I109" i="7"/>
  <c r="I105" i="7"/>
  <c r="I101" i="7"/>
  <c r="I97" i="7"/>
  <c r="I93" i="7"/>
  <c r="I89" i="7"/>
  <c r="I85" i="7"/>
  <c r="I81" i="7"/>
  <c r="I77" i="7"/>
  <c r="I73" i="7"/>
  <c r="I69" i="7"/>
  <c r="I65" i="7"/>
  <c r="I61" i="7"/>
  <c r="I57" i="7"/>
  <c r="I53" i="7"/>
  <c r="I52" i="7"/>
  <c r="I114" i="7"/>
  <c r="I112" i="7"/>
  <c r="I110" i="7"/>
  <c r="I108" i="7"/>
  <c r="I106" i="7"/>
  <c r="I104" i="7"/>
  <c r="I102" i="7"/>
  <c r="I100" i="7"/>
  <c r="I98" i="7"/>
  <c r="I96" i="7"/>
  <c r="I94" i="7"/>
  <c r="I92" i="7"/>
  <c r="I90" i="7"/>
  <c r="I88" i="7"/>
  <c r="I86" i="7"/>
  <c r="I84" i="7"/>
  <c r="I82" i="7"/>
  <c r="I80" i="7"/>
  <c r="I78" i="7"/>
  <c r="I76" i="7"/>
  <c r="I74" i="7"/>
  <c r="I72" i="7"/>
  <c r="I70" i="7"/>
  <c r="I68" i="7"/>
  <c r="I66" i="7"/>
  <c r="I64" i="7"/>
  <c r="I62" i="7"/>
  <c r="I60" i="7"/>
  <c r="I58" i="7"/>
  <c r="I56" i="7"/>
  <c r="D52" i="7"/>
  <c r="D136" i="7"/>
  <c r="D134" i="7"/>
  <c r="D132" i="7"/>
  <c r="D130" i="7"/>
  <c r="D128" i="7"/>
  <c r="D126" i="7"/>
  <c r="D124" i="7"/>
  <c r="D122" i="7"/>
  <c r="D120" i="7"/>
  <c r="D118" i="7"/>
  <c r="D116" i="7"/>
  <c r="D114" i="7"/>
  <c r="D112" i="7"/>
  <c r="D110" i="7"/>
  <c r="D108" i="7"/>
  <c r="D106" i="7"/>
  <c r="D104" i="7"/>
  <c r="D102" i="7"/>
  <c r="D100" i="7"/>
  <c r="D98" i="7"/>
  <c r="D96" i="7"/>
  <c r="D94" i="7"/>
  <c r="D92" i="7"/>
  <c r="D90" i="7"/>
  <c r="D88" i="7"/>
  <c r="D86" i="7"/>
  <c r="D84" i="7"/>
  <c r="D82" i="7"/>
  <c r="D80" i="7"/>
  <c r="D78" i="7"/>
  <c r="D76" i="7"/>
  <c r="D74" i="7"/>
  <c r="D72" i="7"/>
  <c r="D70" i="7"/>
  <c r="D68" i="7"/>
  <c r="D66" i="7"/>
  <c r="D64" i="7"/>
  <c r="D62" i="7"/>
  <c r="D60" i="7"/>
  <c r="D58" i="7"/>
  <c r="D56" i="7"/>
  <c r="C54" i="7"/>
  <c r="C56" i="7"/>
  <c r="C58" i="7"/>
  <c r="C60" i="7"/>
  <c r="C62" i="7"/>
  <c r="C64" i="7"/>
  <c r="C66" i="7"/>
  <c r="C68" i="7"/>
  <c r="C70" i="7"/>
  <c r="C72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53" i="7"/>
  <c r="C55" i="7"/>
  <c r="C57" i="7"/>
  <c r="C59" i="7"/>
  <c r="C61" i="7"/>
  <c r="C63" i="7"/>
  <c r="C65" i="7"/>
  <c r="C67" i="7"/>
  <c r="C69" i="7"/>
  <c r="C71" i="7"/>
  <c r="C73" i="7"/>
  <c r="C124" i="7"/>
  <c r="C126" i="7"/>
  <c r="C128" i="7"/>
  <c r="C125" i="7"/>
  <c r="C127" i="7"/>
  <c r="C129" i="7"/>
  <c r="C131" i="7"/>
  <c r="C52" i="7"/>
  <c r="C130" i="7"/>
  <c r="C133" i="7"/>
  <c r="C135" i="7"/>
  <c r="C137" i="7"/>
  <c r="C132" i="7"/>
  <c r="C134" i="7"/>
  <c r="C136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52" i="7"/>
  <c r="H68" i="7"/>
  <c r="H70" i="7"/>
  <c r="H72" i="7"/>
  <c r="H74" i="7"/>
  <c r="H76" i="7"/>
  <c r="H78" i="7"/>
  <c r="H80" i="7"/>
  <c r="H82" i="7"/>
  <c r="H84" i="7"/>
  <c r="H86" i="7"/>
  <c r="H88" i="7"/>
  <c r="H90" i="7"/>
  <c r="H92" i="7"/>
  <c r="H94" i="7"/>
  <c r="H96" i="7"/>
  <c r="H98" i="7"/>
  <c r="H100" i="7"/>
  <c r="H102" i="7"/>
  <c r="H104" i="7"/>
  <c r="H106" i="7"/>
  <c r="H108" i="7"/>
  <c r="H110" i="7"/>
  <c r="H112" i="7"/>
  <c r="H114" i="7"/>
  <c r="H69" i="7"/>
  <c r="H71" i="7"/>
  <c r="H73" i="7"/>
  <c r="H75" i="7"/>
  <c r="H77" i="7"/>
  <c r="H79" i="7"/>
  <c r="H81" i="7"/>
  <c r="H83" i="7"/>
  <c r="H85" i="7"/>
  <c r="H87" i="7"/>
  <c r="H89" i="7"/>
  <c r="H91" i="7"/>
  <c r="H93" i="7"/>
  <c r="H95" i="7"/>
  <c r="H97" i="7"/>
  <c r="H99" i="7"/>
  <c r="H101" i="7"/>
  <c r="H103" i="7"/>
  <c r="H105" i="7"/>
  <c r="H107" i="7"/>
  <c r="H109" i="7"/>
  <c r="H111" i="7"/>
  <c r="H113" i="7"/>
  <c r="H115" i="7"/>
  <c r="G45" i="2" l="1"/>
  <c r="H45" i="2" s="1"/>
  <c r="G47" i="2"/>
  <c r="H47" i="2" s="1"/>
  <c r="G49" i="2"/>
  <c r="H49" i="2" s="1"/>
  <c r="G51" i="2"/>
  <c r="H51" i="2" s="1"/>
  <c r="G53" i="2"/>
  <c r="H53" i="2" s="1"/>
  <c r="G55" i="2"/>
  <c r="H55" i="2" s="1"/>
  <c r="G57" i="2"/>
  <c r="H57" i="2" s="1"/>
  <c r="G59" i="2"/>
  <c r="H59" i="2" s="1"/>
  <c r="G61" i="2"/>
  <c r="H61" i="2" s="1"/>
  <c r="G63" i="2"/>
  <c r="H63" i="2" s="1"/>
  <c r="G65" i="2"/>
  <c r="H65" i="2" s="1"/>
  <c r="G67" i="2"/>
  <c r="H67" i="2" s="1"/>
  <c r="G69" i="2"/>
  <c r="H69" i="2" s="1"/>
  <c r="G71" i="2"/>
  <c r="H71" i="2" s="1"/>
  <c r="G73" i="2"/>
  <c r="H73" i="2" s="1"/>
  <c r="G75" i="2"/>
  <c r="H75" i="2" s="1"/>
  <c r="G77" i="2"/>
  <c r="H77" i="2" s="1"/>
  <c r="G79" i="2"/>
  <c r="H79" i="2" s="1"/>
  <c r="G81" i="2"/>
  <c r="H81" i="2" s="1"/>
  <c r="G83" i="2"/>
  <c r="H83" i="2" s="1"/>
  <c r="G85" i="2"/>
  <c r="H85" i="2" s="1"/>
  <c r="G87" i="2"/>
  <c r="H87" i="2" s="1"/>
  <c r="G46" i="2"/>
  <c r="H46" i="2" s="1"/>
  <c r="G48" i="2"/>
  <c r="H48" i="2" s="1"/>
  <c r="G50" i="2"/>
  <c r="H50" i="2" s="1"/>
  <c r="G52" i="2"/>
  <c r="H52" i="2" s="1"/>
  <c r="G54" i="2"/>
  <c r="H54" i="2" s="1"/>
  <c r="G56" i="2"/>
  <c r="H56" i="2" s="1"/>
  <c r="G58" i="2"/>
  <c r="H58" i="2" s="1"/>
  <c r="G60" i="2"/>
  <c r="H60" i="2" s="1"/>
  <c r="G62" i="2"/>
  <c r="H62" i="2" s="1"/>
  <c r="G64" i="2"/>
  <c r="H64" i="2" s="1"/>
  <c r="G66" i="2"/>
  <c r="H66" i="2" s="1"/>
  <c r="G68" i="2"/>
  <c r="H68" i="2" s="1"/>
  <c r="G70" i="2"/>
  <c r="H70" i="2" s="1"/>
  <c r="G72" i="2"/>
  <c r="H72" i="2" s="1"/>
  <c r="G74" i="2"/>
  <c r="H74" i="2" s="1"/>
  <c r="G76" i="2"/>
  <c r="H76" i="2" s="1"/>
  <c r="G78" i="2"/>
  <c r="H78" i="2" s="1"/>
  <c r="G80" i="2"/>
  <c r="H80" i="2" s="1"/>
  <c r="G82" i="2"/>
  <c r="H82" i="2" s="1"/>
  <c r="G84" i="2"/>
  <c r="H84" i="2" s="1"/>
  <c r="G86" i="2"/>
  <c r="H86" i="2" s="1"/>
  <c r="G3" i="2"/>
  <c r="H3" i="2" s="1"/>
  <c r="G5" i="2"/>
  <c r="H5" i="2" s="1"/>
  <c r="G7" i="2"/>
  <c r="H7" i="2" s="1"/>
  <c r="G9" i="2"/>
  <c r="H9" i="2" s="1"/>
  <c r="G11" i="2"/>
  <c r="H11" i="2" s="1"/>
  <c r="G13" i="2"/>
  <c r="H13" i="2" s="1"/>
  <c r="G15" i="2"/>
  <c r="H15" i="2" s="1"/>
  <c r="G17" i="2"/>
  <c r="H17" i="2" s="1"/>
  <c r="G19" i="2"/>
  <c r="H19" i="2" s="1"/>
  <c r="G21" i="2"/>
  <c r="H21" i="2" s="1"/>
  <c r="G23" i="2"/>
  <c r="H23" i="2" s="1"/>
  <c r="G25" i="2"/>
  <c r="H25" i="2" s="1"/>
  <c r="G27" i="2"/>
  <c r="H27" i="2" s="1"/>
  <c r="G29" i="2"/>
  <c r="H29" i="2" s="1"/>
  <c r="G31" i="2"/>
  <c r="H31" i="2" s="1"/>
  <c r="G33" i="2"/>
  <c r="H33" i="2" s="1"/>
  <c r="G35" i="2"/>
  <c r="H35" i="2" s="1"/>
  <c r="G37" i="2"/>
  <c r="H37" i="2" s="1"/>
  <c r="G39" i="2"/>
  <c r="H39" i="2" s="1"/>
  <c r="G41" i="2"/>
  <c r="H41" i="2" s="1"/>
  <c r="G43" i="2"/>
  <c r="H43" i="2" s="1"/>
  <c r="G2" i="2"/>
  <c r="H2" i="2" s="1"/>
  <c r="G4" i="2"/>
  <c r="H4" i="2" s="1"/>
  <c r="G6" i="2"/>
  <c r="H6" i="2" s="1"/>
  <c r="G8" i="2"/>
  <c r="H8" i="2" s="1"/>
  <c r="G10" i="2"/>
  <c r="H10" i="2" s="1"/>
  <c r="G12" i="2"/>
  <c r="H12" i="2" s="1"/>
  <c r="G14" i="2"/>
  <c r="H14" i="2" s="1"/>
  <c r="G16" i="2"/>
  <c r="H16" i="2" s="1"/>
  <c r="G18" i="2"/>
  <c r="H18" i="2" s="1"/>
  <c r="G20" i="2"/>
  <c r="H20" i="2" s="1"/>
  <c r="G22" i="2"/>
  <c r="H22" i="2" s="1"/>
  <c r="G24" i="2"/>
  <c r="H24" i="2" s="1"/>
  <c r="G26" i="2"/>
  <c r="H26" i="2" s="1"/>
  <c r="G28" i="2"/>
  <c r="H28" i="2" s="1"/>
  <c r="G30" i="2"/>
  <c r="H30" i="2" s="1"/>
  <c r="G32" i="2"/>
  <c r="H32" i="2" s="1"/>
  <c r="G34" i="2"/>
  <c r="H34" i="2" s="1"/>
  <c r="G36" i="2"/>
  <c r="H36" i="2" s="1"/>
  <c r="G38" i="2"/>
  <c r="H38" i="2" s="1"/>
  <c r="G40" i="2"/>
  <c r="H40" i="2" s="1"/>
  <c r="G42" i="2"/>
  <c r="H42" i="2" s="1"/>
  <c r="G44" i="2"/>
  <c r="H44" i="2" s="1"/>
  <c r="G88" i="2" l="1"/>
  <c r="H88" i="2" s="1"/>
  <c r="G174" i="2" l="1"/>
  <c r="H174" i="2" s="1"/>
  <c r="G260" i="2"/>
  <c r="H260" i="2" s="1"/>
</calcChain>
</file>

<file path=xl/sharedStrings.xml><?xml version="1.0" encoding="utf-8"?>
<sst xmlns="http://schemas.openxmlformats.org/spreadsheetml/2006/main" count="1345" uniqueCount="215">
  <si>
    <t>TAG_CD</t>
  </si>
  <si>
    <t>TAG_NAME</t>
  </si>
  <si>
    <t>AVG_A</t>
  </si>
  <si>
    <t>SIGMA_A</t>
  </si>
  <si>
    <t>AVG_B</t>
  </si>
  <si>
    <t>SIGMA_B</t>
  </si>
  <si>
    <t>Z_TEST</t>
  </si>
  <si>
    <t>F_TEST</t>
  </si>
  <si>
    <t>UNIT</t>
  </si>
  <si>
    <t>P02M07C031P0</t>
  </si>
  <si>
    <t>105_Silo_PV</t>
  </si>
  <si>
    <t>TON</t>
  </si>
  <si>
    <t>P04M01C002P0</t>
  </si>
  <si>
    <t>MAIN-Screw(Motor)-LD</t>
  </si>
  <si>
    <t>%</t>
  </si>
  <si>
    <t>P09M04C002P0</t>
  </si>
  <si>
    <t xml:space="preserve">CHILL ROLL LD </t>
  </si>
  <si>
    <t>MEASURE_YMDHIS</t>
  </si>
  <si>
    <t>VALUE</t>
  </si>
  <si>
    <t>REG_DATE</t>
  </si>
  <si>
    <t>20210814231225</t>
  </si>
  <si>
    <t>20210814231325</t>
  </si>
  <si>
    <t>20210814231425</t>
  </si>
  <si>
    <t>20210814231525</t>
  </si>
  <si>
    <t>20210814231625</t>
  </si>
  <si>
    <t>20210814231725</t>
  </si>
  <si>
    <t>20210814231825</t>
  </si>
  <si>
    <t>20210814231925</t>
  </si>
  <si>
    <t>20210814232025</t>
  </si>
  <si>
    <t>20210814232125</t>
  </si>
  <si>
    <t>20210814232225</t>
  </si>
  <si>
    <t>20210814232325</t>
  </si>
  <si>
    <t>20210814232425</t>
  </si>
  <si>
    <t>20210814232525</t>
  </si>
  <si>
    <t>20210814232625</t>
  </si>
  <si>
    <t>20210814232725</t>
  </si>
  <si>
    <t>20210814232825</t>
  </si>
  <si>
    <t>20210814232925</t>
  </si>
  <si>
    <t>20210814233025</t>
  </si>
  <si>
    <t>20210814233125</t>
  </si>
  <si>
    <t>20210814233225</t>
  </si>
  <si>
    <t>20210814233325</t>
  </si>
  <si>
    <t>20210814233425</t>
  </si>
  <si>
    <t>20210814233525</t>
  </si>
  <si>
    <t>20210814233625</t>
  </si>
  <si>
    <t>20210814222225</t>
  </si>
  <si>
    <t>20210814222325</t>
  </si>
  <si>
    <t>20210814222425</t>
  </si>
  <si>
    <t>20210814222525</t>
  </si>
  <si>
    <t>20210814222625</t>
  </si>
  <si>
    <t>20210814222725</t>
  </si>
  <si>
    <t>20210814222825</t>
  </si>
  <si>
    <t>20210814222925</t>
  </si>
  <si>
    <t>20210814223025</t>
  </si>
  <si>
    <t>20210814223125</t>
  </si>
  <si>
    <t>20210814223225</t>
  </si>
  <si>
    <t>20210814223325</t>
  </si>
  <si>
    <t>20210814223425</t>
  </si>
  <si>
    <t>20210814223525</t>
  </si>
  <si>
    <t>20210814223625</t>
  </si>
  <si>
    <t>20210814223725</t>
  </si>
  <si>
    <t>20210814223825</t>
  </si>
  <si>
    <t>20210814223925</t>
  </si>
  <si>
    <t>20210814224025</t>
  </si>
  <si>
    <t>20210814224125</t>
  </si>
  <si>
    <t>20210814224225</t>
  </si>
  <si>
    <t>20210814224325</t>
  </si>
  <si>
    <t>20210814224425</t>
  </si>
  <si>
    <t>20210814224525</t>
  </si>
  <si>
    <t>20210814224625</t>
  </si>
  <si>
    <t>20210814224725</t>
  </si>
  <si>
    <t>20210814224825</t>
  </si>
  <si>
    <t>20210814224925</t>
  </si>
  <si>
    <t>20210814225025</t>
  </si>
  <si>
    <t>20210814225125</t>
  </si>
  <si>
    <t>20210814225225</t>
  </si>
  <si>
    <t>20210814225325</t>
  </si>
  <si>
    <t>20210814225425</t>
  </si>
  <si>
    <t>20210814225525</t>
  </si>
  <si>
    <t>20210814225625</t>
  </si>
  <si>
    <t>20210814225725</t>
  </si>
  <si>
    <t>20210814225825</t>
  </si>
  <si>
    <t>20210814225925</t>
  </si>
  <si>
    <t>20210814230025</t>
  </si>
  <si>
    <t>20210814230125</t>
  </si>
  <si>
    <t>20210814230225</t>
  </si>
  <si>
    <t>20210814230325</t>
  </si>
  <si>
    <t>20210814230425</t>
  </si>
  <si>
    <t>20210814230525</t>
  </si>
  <si>
    <t>20210814230625</t>
  </si>
  <si>
    <t>20210814230725</t>
  </si>
  <si>
    <t>20210814230825</t>
  </si>
  <si>
    <t>20210814230925</t>
  </si>
  <si>
    <t>20210814231025</t>
  </si>
  <si>
    <t>20210814231125</t>
  </si>
  <si>
    <t>20210814233725</t>
  </si>
  <si>
    <t>20210814233825</t>
  </si>
  <si>
    <t>20210814233925</t>
  </si>
  <si>
    <t>20210814234025</t>
  </si>
  <si>
    <t>20210814234125</t>
  </si>
  <si>
    <t>20210814234225</t>
  </si>
  <si>
    <t>20210814234325</t>
  </si>
  <si>
    <t>20210814234425</t>
  </si>
  <si>
    <t>20210814234525</t>
  </si>
  <si>
    <t>20210814234625</t>
  </si>
  <si>
    <t>20210814234725</t>
  </si>
  <si>
    <t>P04M01C004P0</t>
  </si>
  <si>
    <t>20210815040525</t>
  </si>
  <si>
    <t>20210815040625</t>
  </si>
  <si>
    <t>20210815040725</t>
  </si>
  <si>
    <t>20210815040825</t>
  </si>
  <si>
    <t>20210815040925</t>
  </si>
  <si>
    <t>20210815041025</t>
  </si>
  <si>
    <t>20210815041125</t>
  </si>
  <si>
    <t>20210815041225</t>
  </si>
  <si>
    <t>20210815041325</t>
  </si>
  <si>
    <t>20210815041425</t>
  </si>
  <si>
    <t>20210815041525</t>
  </si>
  <si>
    <t>20210815041625</t>
  </si>
  <si>
    <t>20210815041725</t>
  </si>
  <si>
    <t>20210815041825</t>
  </si>
  <si>
    <t>20210815041925</t>
  </si>
  <si>
    <t>20210815042025</t>
  </si>
  <si>
    <t>20210815042125</t>
  </si>
  <si>
    <t>20210815042225</t>
  </si>
  <si>
    <t>20210815042325</t>
  </si>
  <si>
    <t>20210815042425</t>
  </si>
  <si>
    <t>20210815042525</t>
  </si>
  <si>
    <t>20210815042625</t>
  </si>
  <si>
    <t>20210815042725</t>
  </si>
  <si>
    <t>20210815042825</t>
  </si>
  <si>
    <t>20210815042925</t>
  </si>
  <si>
    <t>20210815043025</t>
  </si>
  <si>
    <t>20210815043125</t>
  </si>
  <si>
    <t>20210815043225</t>
  </si>
  <si>
    <t>20210815043325</t>
  </si>
  <si>
    <t>20210815043425</t>
  </si>
  <si>
    <t>20210815043525</t>
  </si>
  <si>
    <t>20210815043625</t>
  </si>
  <si>
    <t>20210815043725</t>
  </si>
  <si>
    <t>20210815043825</t>
  </si>
  <si>
    <t>20210815043925</t>
  </si>
  <si>
    <t>20210815044025</t>
  </si>
  <si>
    <t>20210815044125</t>
  </si>
  <si>
    <t>20210815044225</t>
  </si>
  <si>
    <t>20210815044325</t>
  </si>
  <si>
    <t>20210815044425</t>
  </si>
  <si>
    <t>20210815044525</t>
  </si>
  <si>
    <t>20210815044625</t>
  </si>
  <si>
    <t>20210815044725</t>
  </si>
  <si>
    <t>20210815044825</t>
  </si>
  <si>
    <t>20210815044925</t>
  </si>
  <si>
    <t>20210815045025</t>
  </si>
  <si>
    <t>20210815045125</t>
  </si>
  <si>
    <t>20210815045225</t>
  </si>
  <si>
    <t>20210815045325</t>
  </si>
  <si>
    <t>20210815045425</t>
  </si>
  <si>
    <t>20210815045525</t>
  </si>
  <si>
    <t>20210815045625</t>
  </si>
  <si>
    <t>20210815045725</t>
  </si>
  <si>
    <t>20210815045825</t>
  </si>
  <si>
    <t>20210815045925</t>
  </si>
  <si>
    <t>20210815050025</t>
  </si>
  <si>
    <t>20210815050125</t>
  </si>
  <si>
    <t>20210815050225</t>
  </si>
  <si>
    <t>20210815050325</t>
  </si>
  <si>
    <t>20210815050425</t>
  </si>
  <si>
    <t>20210815050525</t>
  </si>
  <si>
    <t>20210815050625</t>
  </si>
  <si>
    <t>20210815050725</t>
  </si>
  <si>
    <t>20210815050825</t>
  </si>
  <si>
    <t>STDDEV_VAL</t>
  </si>
  <si>
    <t>ROUNDED_SIGMA</t>
  </si>
  <si>
    <t>STD_DEV</t>
  </si>
  <si>
    <t>DIFF_SIGMA</t>
  </si>
  <si>
    <t>AVG_VAL</t>
  </si>
  <si>
    <t>ROUNDED_AVG</t>
  </si>
  <si>
    <t>AVG</t>
  </si>
  <si>
    <t>DIFF_AVG</t>
  </si>
  <si>
    <t>Count</t>
    <phoneticPr fontId="2" type="noConversion"/>
  </si>
  <si>
    <t>Tag Code</t>
    <phoneticPr fontId="2" type="noConversion"/>
  </si>
  <si>
    <t>Tag Name</t>
    <phoneticPr fontId="2" type="noConversion"/>
  </si>
  <si>
    <t>P02M07C031</t>
  </si>
  <si>
    <t>P04M01C002</t>
  </si>
  <si>
    <t>Main Screw(MOTOR)-LD</t>
  </si>
  <si>
    <t>P04M01C004</t>
  </si>
  <si>
    <t>MAIN-GP-LD</t>
  </si>
  <si>
    <t>P09M04C002</t>
  </si>
  <si>
    <t>CHILL ROLL-LD</t>
  </si>
  <si>
    <t>LOT</t>
    <phoneticPr fontId="2" type="noConversion"/>
  </si>
  <si>
    <t>Data Count</t>
    <phoneticPr fontId="2" type="noConversion"/>
  </si>
  <si>
    <t>P02M07C031</t>
    <phoneticPr fontId="2" type="noConversion"/>
  </si>
  <si>
    <t>표준편차</t>
    <phoneticPr fontId="2" type="noConversion"/>
  </si>
  <si>
    <t>평균</t>
    <phoneticPr fontId="2" type="noConversion"/>
  </si>
  <si>
    <t>검증대상값</t>
    <phoneticPr fontId="2" type="noConversion"/>
  </si>
  <si>
    <t>검증기준</t>
    <phoneticPr fontId="2" type="noConversion"/>
  </si>
  <si>
    <r>
      <rPr>
        <sz val="10"/>
        <color indexed="8"/>
        <rFont val="맑은 고딕"/>
        <family val="2"/>
        <charset val="129"/>
      </rPr>
      <t>검증결과</t>
    </r>
    <phoneticPr fontId="2" type="noConversion"/>
  </si>
  <si>
    <t>유의수준</t>
    <phoneticPr fontId="2" type="noConversion"/>
  </si>
  <si>
    <t>선택</t>
    <phoneticPr fontId="2" type="noConversion"/>
  </si>
  <si>
    <t>유의수준 선택:</t>
    <phoneticPr fontId="2" type="noConversion"/>
  </si>
  <si>
    <t>1. LOT 별 이상치 도출</t>
    <phoneticPr fontId="2" type="noConversion"/>
  </si>
  <si>
    <t>2. 두 LOT의 평균 검정</t>
    <phoneticPr fontId="2" type="noConversion"/>
  </si>
  <si>
    <t>Z 통계량</t>
    <phoneticPr fontId="2" type="noConversion"/>
  </si>
  <si>
    <t>F 통계량</t>
    <phoneticPr fontId="2" type="noConversion"/>
  </si>
  <si>
    <t>검증(Z, F)</t>
    <phoneticPr fontId="2" type="noConversion"/>
  </si>
  <si>
    <t>Z 검정 유의수준 선택</t>
    <phoneticPr fontId="2" type="noConversion"/>
  </si>
  <si>
    <t>F 검정 유의수준 선택</t>
    <phoneticPr fontId="2" type="noConversion"/>
  </si>
  <si>
    <t>상한</t>
    <phoneticPr fontId="2" type="noConversion"/>
  </si>
  <si>
    <t>하한</t>
    <phoneticPr fontId="2" type="noConversion"/>
  </si>
  <si>
    <t>LOT 1</t>
    <phoneticPr fontId="2" type="noConversion"/>
  </si>
  <si>
    <t>Count</t>
    <phoneticPr fontId="2" type="noConversion"/>
  </si>
  <si>
    <t>Value</t>
    <phoneticPr fontId="2" type="noConversion"/>
  </si>
  <si>
    <t>상한값</t>
    <phoneticPr fontId="2" type="noConversion"/>
  </si>
  <si>
    <t>하한값</t>
    <phoneticPr fontId="2" type="noConversion"/>
  </si>
  <si>
    <t>LOT 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</si>
</sst>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.000"/>
    <numFmt numFmtId="177" formatCode="mm/dd/yyyy\ hh:mm:ss"/>
    <numFmt numFmtId="178" formatCode="0.000"/>
    <numFmt numFmtId="179" formatCode="0.0%"/>
    <numFmt numFmtId="180" formatCode="0.00000000000000_ "/>
  </numFmts>
  <fonts count="10">
    <font>
      <sz val="11"/>
      <color theme="1"/>
      <name val="맑은 고딕"/>
      <family val="2"/>
      <charset val="129"/>
      <scheme val="minor"/>
    </font>
    <font>
      <sz val="10"/>
      <color indexed="8"/>
      <name val="Arial"/>
      <family val="2"/>
    </font>
    <font>
      <sz val="8"/>
      <name val="맑은 고딕"/>
      <family val="2"/>
      <charset val="129"/>
      <scheme val="minor"/>
    </font>
    <font>
      <sz val="10"/>
      <color indexed="8"/>
      <name val="맑은 고딕"/>
      <family val="2"/>
      <charset val="129"/>
    </font>
    <font>
      <sz val="10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0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71">
    <xf numFmtId="0" fontId="0" fillId="0" borderId="0" xfId="0">
      <alignment vertical="center"/>
    </xf>
    <xf numFmtId="0" fontId="1" fillId="2" borderId="0" xfId="0" applyFont="1" applyFill="1" applyAlignment="1"/>
    <xf numFmtId="0" fontId="1" fillId="0" borderId="0" xfId="0" applyFont="1" applyAlignment="1"/>
    <xf numFmtId="176" fontId="1" fillId="0" borderId="0" xfId="0" applyNumberFormat="1" applyFont="1" applyAlignment="1"/>
    <xf numFmtId="3" fontId="1" fillId="0" borderId="0" xfId="0" applyNumberFormat="1" applyFont="1" applyAlignment="1"/>
    <xf numFmtId="0" fontId="4" fillId="0" borderId="0" xfId="0" applyFont="1" applyAlignment="1"/>
    <xf numFmtId="0" fontId="4" fillId="0" borderId="0" xfId="0" applyFont="1">
      <alignment vertical="center"/>
    </xf>
    <xf numFmtId="0" fontId="1" fillId="4" borderId="0" xfId="0" applyFont="1" applyFill="1" applyAlignment="1"/>
    <xf numFmtId="176" fontId="1" fillId="4" borderId="0" xfId="0" applyNumberFormat="1" applyFont="1" applyFill="1" applyAlignment="1"/>
    <xf numFmtId="0" fontId="4" fillId="4" borderId="0" xfId="0" applyFont="1" applyFill="1">
      <alignment vertical="center"/>
    </xf>
    <xf numFmtId="0" fontId="3" fillId="2" borderId="0" xfId="0" applyFont="1" applyFill="1" applyAlignment="1"/>
    <xf numFmtId="177" fontId="4" fillId="0" borderId="0" xfId="0" applyNumberFormat="1" applyFont="1" applyAlignment="1"/>
    <xf numFmtId="177" fontId="4" fillId="4" borderId="0" xfId="0" applyNumberFormat="1" applyFont="1" applyFill="1" applyAlignment="1"/>
    <xf numFmtId="0" fontId="1" fillId="2" borderId="0" xfId="0" applyFont="1" applyFill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178" fontId="4" fillId="0" borderId="0" xfId="0" applyNumberFormat="1" applyFont="1">
      <alignment vertical="center"/>
    </xf>
    <xf numFmtId="179" fontId="4" fillId="0" borderId="4" xfId="0" applyNumberFormat="1" applyFont="1" applyBorder="1">
      <alignment vertical="center"/>
    </xf>
    <xf numFmtId="179" fontId="4" fillId="0" borderId="6" xfId="0" applyNumberFormat="1" applyFont="1" applyBorder="1">
      <alignment vertical="center"/>
    </xf>
    <xf numFmtId="0" fontId="5" fillId="4" borderId="1" xfId="0" applyFont="1" applyFill="1" applyBorder="1" applyAlignment="1">
      <alignment vertical="center"/>
    </xf>
    <xf numFmtId="0" fontId="5" fillId="4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78" fontId="4" fillId="0" borderId="8" xfId="0" applyNumberFormat="1" applyFont="1" applyBorder="1">
      <alignment vertical="center"/>
    </xf>
    <xf numFmtId="0" fontId="4" fillId="0" borderId="5" xfId="0" applyFont="1" applyBorder="1" applyAlignment="1">
      <alignment horizontal="center" vertical="center"/>
    </xf>
    <xf numFmtId="178" fontId="4" fillId="0" borderId="9" xfId="0" applyNumberFormat="1" applyFont="1" applyBorder="1">
      <alignment vertical="center"/>
    </xf>
    <xf numFmtId="0" fontId="4" fillId="0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7" xfId="0" applyFont="1" applyBorder="1">
      <alignment vertical="center"/>
    </xf>
    <xf numFmtId="0" fontId="4" fillId="0" borderId="2" xfId="0" applyFont="1" applyBorder="1">
      <alignment vertical="center"/>
    </xf>
    <xf numFmtId="0" fontId="4" fillId="0" borderId="8" xfId="0" applyFont="1" applyBorder="1">
      <alignment vertical="center"/>
    </xf>
    <xf numFmtId="0" fontId="4" fillId="0" borderId="4" xfId="0" applyFont="1" applyBorder="1">
      <alignment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8" xfId="0" applyFont="1" applyFill="1" applyBorder="1">
      <alignment vertical="center"/>
    </xf>
    <xf numFmtId="178" fontId="4" fillId="4" borderId="8" xfId="0" applyNumberFormat="1" applyFont="1" applyFill="1" applyBorder="1">
      <alignment vertical="center"/>
    </xf>
    <xf numFmtId="0" fontId="4" fillId="4" borderId="4" xfId="0" applyFont="1" applyFill="1" applyBorder="1">
      <alignment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9" xfId="0" applyFont="1" applyFill="1" applyBorder="1">
      <alignment vertical="center"/>
    </xf>
    <xf numFmtId="178" fontId="4" fillId="4" borderId="9" xfId="0" applyNumberFormat="1" applyFont="1" applyFill="1" applyBorder="1">
      <alignment vertical="center"/>
    </xf>
    <xf numFmtId="0" fontId="4" fillId="4" borderId="6" xfId="0" applyFont="1" applyFill="1" applyBorder="1">
      <alignment vertical="center"/>
    </xf>
    <xf numFmtId="0" fontId="4" fillId="0" borderId="10" xfId="0" applyFont="1" applyBorder="1" applyAlignment="1">
      <alignment horizontal="center" vertical="center"/>
    </xf>
    <xf numFmtId="0" fontId="4" fillId="0" borderId="10" xfId="0" applyFont="1" applyBorder="1">
      <alignment vertical="center"/>
    </xf>
    <xf numFmtId="178" fontId="4" fillId="0" borderId="10" xfId="0" applyNumberFormat="1" applyFont="1" applyBorder="1">
      <alignment vertical="center"/>
    </xf>
    <xf numFmtId="0" fontId="6" fillId="0" borderId="0" xfId="0" applyFont="1" applyAlignment="1">
      <alignment horizontal="left" vertical="center"/>
    </xf>
    <xf numFmtId="180" fontId="4" fillId="0" borderId="0" xfId="0" applyNumberFormat="1" applyFont="1">
      <alignment vertical="center"/>
    </xf>
    <xf numFmtId="0" fontId="4" fillId="0" borderId="0" xfId="0" applyFont="1" applyBorder="1" applyAlignment="1">
      <alignment horizontal="center" vertical="center"/>
    </xf>
    <xf numFmtId="178" fontId="4" fillId="0" borderId="0" xfId="0" applyNumberFormat="1" applyFont="1" applyBorder="1">
      <alignment vertical="center"/>
    </xf>
    <xf numFmtId="179" fontId="4" fillId="0" borderId="0" xfId="0" applyNumberFormat="1" applyFont="1" applyBorder="1">
      <alignment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4" fillId="5" borderId="0" xfId="0" applyFont="1" applyFill="1">
      <alignment vertical="center"/>
    </xf>
    <xf numFmtId="0" fontId="4" fillId="0" borderId="0" xfId="0" applyFont="1" applyFill="1">
      <alignment vertical="center"/>
    </xf>
    <xf numFmtId="0" fontId="7" fillId="0" borderId="0" xfId="0" applyFont="1">
      <alignment vertical="center"/>
    </xf>
    <xf numFmtId="0" fontId="1" fillId="0" borderId="0" xfId="0" applyFont="1" applyFill="1" applyAlignment="1"/>
    <xf numFmtId="176" fontId="1" fillId="0" borderId="0" xfId="0" applyNumberFormat="1" applyFont="1" applyFill="1" applyAlignment="1"/>
    <xf numFmtId="177" fontId="4" fillId="0" borderId="0" xfId="0" applyNumberFormat="1" applyFont="1" applyFill="1" applyAlignment="1"/>
    <xf numFmtId="0" fontId="8" fillId="0" borderId="0" xfId="0" applyFont="1">
      <alignment vertical="center"/>
    </xf>
    <xf numFmtId="0" fontId="8" fillId="0" borderId="0" xfId="0" applyNumberFormat="1" applyFont="1">
      <alignment vertical="center"/>
    </xf>
    <xf numFmtId="178" fontId="8" fillId="0" borderId="0" xfId="0" applyNumberFormat="1" applyFont="1">
      <alignment vertical="center"/>
    </xf>
    <xf numFmtId="0" fontId="9" fillId="3" borderId="0" xfId="0" applyFont="1" applyFill="1">
      <alignment vertical="center"/>
    </xf>
    <xf numFmtId="176" fontId="1" fillId="5" borderId="0" xfId="0" applyNumberFormat="1" applyFont="1" applyFill="1" applyAlignment="1"/>
    <xf numFmtId="176" fontId="1" fillId="6" borderId="0" xfId="0" applyNumberFormat="1" applyFont="1" applyFill="1" applyAlignment="1"/>
    <xf numFmtId="178" fontId="4" fillId="4" borderId="11" xfId="0" applyNumberFormat="1" applyFont="1" applyFill="1" applyBorder="1" applyAlignment="1">
      <alignment horizontal="center" vertical="center"/>
    </xf>
    <xf numFmtId="178" fontId="4" fillId="4" borderId="13" xfId="0" applyNumberFormat="1" applyFont="1" applyFill="1" applyBorder="1" applyAlignment="1">
      <alignment horizontal="center" vertical="center"/>
    </xf>
    <xf numFmtId="178" fontId="4" fillId="0" borderId="11" xfId="0" applyNumberFormat="1" applyFont="1" applyBorder="1" applyAlignment="1">
      <alignment horizontal="center" vertical="center"/>
    </xf>
    <xf numFmtId="178" fontId="4" fillId="0" borderId="12" xfId="0" applyNumberFormat="1" applyFont="1" applyBorder="1" applyAlignment="1">
      <alignment horizontal="center" vertical="center"/>
    </xf>
    <xf numFmtId="178" fontId="4" fillId="4" borderId="12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Trend</a:t>
            </a:r>
            <a:r>
              <a:rPr lang="en-US" altLang="ko-KR" baseline="0"/>
              <a:t> Chart of LOT#1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ore-K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'(검증2)개별 Trend Chart'!$B$51</c:f>
              <c:strCache>
                <c:ptCount val="1"/>
                <c:pt idx="0">
                  <c:v>Value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'(검증2)개별 Trend Chart'!$B$52:$B$137</c:f>
              <c:numCache>
                <c:formatCode>0.000</c:formatCode>
                <c:ptCount val="86"/>
                <c:pt idx="0">
                  <c:v>48.8</c:v>
                </c:pt>
                <c:pt idx="1">
                  <c:v>48.7</c:v>
                </c:pt>
                <c:pt idx="2">
                  <c:v>48.7</c:v>
                </c:pt>
                <c:pt idx="3">
                  <c:v>48.8</c:v>
                </c:pt>
                <c:pt idx="4">
                  <c:v>48.6</c:v>
                </c:pt>
                <c:pt idx="5">
                  <c:v>48.6</c:v>
                </c:pt>
                <c:pt idx="6">
                  <c:v>48.6</c:v>
                </c:pt>
                <c:pt idx="7">
                  <c:v>48.6</c:v>
                </c:pt>
                <c:pt idx="8">
                  <c:v>48.6</c:v>
                </c:pt>
                <c:pt idx="9">
                  <c:v>49</c:v>
                </c:pt>
                <c:pt idx="10">
                  <c:v>49</c:v>
                </c:pt>
                <c:pt idx="11">
                  <c:v>48.8</c:v>
                </c:pt>
                <c:pt idx="12">
                  <c:v>48.8</c:v>
                </c:pt>
                <c:pt idx="13">
                  <c:v>48.7</c:v>
                </c:pt>
                <c:pt idx="14">
                  <c:v>48.8</c:v>
                </c:pt>
                <c:pt idx="15">
                  <c:v>48.6</c:v>
                </c:pt>
                <c:pt idx="16">
                  <c:v>48.4</c:v>
                </c:pt>
                <c:pt idx="17">
                  <c:v>48.7</c:v>
                </c:pt>
                <c:pt idx="18">
                  <c:v>48.7</c:v>
                </c:pt>
                <c:pt idx="19">
                  <c:v>48.7</c:v>
                </c:pt>
                <c:pt idx="20">
                  <c:v>48.7</c:v>
                </c:pt>
                <c:pt idx="21">
                  <c:v>48.6</c:v>
                </c:pt>
                <c:pt idx="22">
                  <c:v>48.6</c:v>
                </c:pt>
                <c:pt idx="23">
                  <c:v>48.6</c:v>
                </c:pt>
                <c:pt idx="24">
                  <c:v>48.6</c:v>
                </c:pt>
                <c:pt idx="25">
                  <c:v>48.7</c:v>
                </c:pt>
                <c:pt idx="26">
                  <c:v>48.4</c:v>
                </c:pt>
                <c:pt idx="27">
                  <c:v>48.8</c:v>
                </c:pt>
                <c:pt idx="28">
                  <c:v>48.9</c:v>
                </c:pt>
                <c:pt idx="29">
                  <c:v>48.9</c:v>
                </c:pt>
                <c:pt idx="30">
                  <c:v>48.7</c:v>
                </c:pt>
                <c:pt idx="31">
                  <c:v>48.9</c:v>
                </c:pt>
                <c:pt idx="32">
                  <c:v>48.8</c:v>
                </c:pt>
                <c:pt idx="33">
                  <c:v>48.7</c:v>
                </c:pt>
                <c:pt idx="34">
                  <c:v>48.9</c:v>
                </c:pt>
                <c:pt idx="35">
                  <c:v>49</c:v>
                </c:pt>
                <c:pt idx="36">
                  <c:v>49</c:v>
                </c:pt>
                <c:pt idx="37">
                  <c:v>48.9</c:v>
                </c:pt>
                <c:pt idx="38">
                  <c:v>48.8</c:v>
                </c:pt>
                <c:pt idx="39">
                  <c:v>48.9</c:v>
                </c:pt>
                <c:pt idx="40">
                  <c:v>48.7</c:v>
                </c:pt>
                <c:pt idx="41">
                  <c:v>48.8</c:v>
                </c:pt>
                <c:pt idx="42">
                  <c:v>48.5</c:v>
                </c:pt>
                <c:pt idx="43">
                  <c:v>48.9</c:v>
                </c:pt>
                <c:pt idx="44">
                  <c:v>48.9</c:v>
                </c:pt>
                <c:pt idx="45">
                  <c:v>48.8</c:v>
                </c:pt>
                <c:pt idx="46">
                  <c:v>48.7</c:v>
                </c:pt>
                <c:pt idx="47">
                  <c:v>48.8</c:v>
                </c:pt>
                <c:pt idx="48">
                  <c:v>49.3</c:v>
                </c:pt>
                <c:pt idx="49">
                  <c:v>48.7</c:v>
                </c:pt>
                <c:pt idx="50">
                  <c:v>50.1</c:v>
                </c:pt>
                <c:pt idx="51">
                  <c:v>50.3</c:v>
                </c:pt>
                <c:pt idx="52">
                  <c:v>50.2</c:v>
                </c:pt>
                <c:pt idx="53">
                  <c:v>50.2</c:v>
                </c:pt>
                <c:pt idx="54">
                  <c:v>50.2</c:v>
                </c:pt>
                <c:pt idx="55">
                  <c:v>50.2</c:v>
                </c:pt>
                <c:pt idx="56">
                  <c:v>49.8</c:v>
                </c:pt>
                <c:pt idx="57">
                  <c:v>50.1</c:v>
                </c:pt>
                <c:pt idx="58">
                  <c:v>50</c:v>
                </c:pt>
                <c:pt idx="59">
                  <c:v>50.1</c:v>
                </c:pt>
                <c:pt idx="60">
                  <c:v>50.2</c:v>
                </c:pt>
                <c:pt idx="61">
                  <c:v>50.3</c:v>
                </c:pt>
                <c:pt idx="62">
                  <c:v>49.7</c:v>
                </c:pt>
                <c:pt idx="63">
                  <c:v>49.9</c:v>
                </c:pt>
                <c:pt idx="64">
                  <c:v>50</c:v>
                </c:pt>
                <c:pt idx="65">
                  <c:v>50</c:v>
                </c:pt>
                <c:pt idx="66">
                  <c:v>50.3</c:v>
                </c:pt>
                <c:pt idx="67">
                  <c:v>50.4</c:v>
                </c:pt>
                <c:pt idx="68">
                  <c:v>50.3</c:v>
                </c:pt>
                <c:pt idx="69">
                  <c:v>50.3</c:v>
                </c:pt>
                <c:pt idx="70">
                  <c:v>50.3</c:v>
                </c:pt>
                <c:pt idx="71">
                  <c:v>50.4</c:v>
                </c:pt>
                <c:pt idx="72">
                  <c:v>50.3</c:v>
                </c:pt>
                <c:pt idx="73">
                  <c:v>50.2</c:v>
                </c:pt>
                <c:pt idx="74">
                  <c:v>50.3</c:v>
                </c:pt>
                <c:pt idx="75">
                  <c:v>50.1</c:v>
                </c:pt>
                <c:pt idx="76">
                  <c:v>49.9</c:v>
                </c:pt>
                <c:pt idx="77">
                  <c:v>49.9</c:v>
                </c:pt>
                <c:pt idx="78">
                  <c:v>49.9</c:v>
                </c:pt>
                <c:pt idx="79">
                  <c:v>50.1</c:v>
                </c:pt>
                <c:pt idx="80">
                  <c:v>50</c:v>
                </c:pt>
                <c:pt idx="81">
                  <c:v>49.9</c:v>
                </c:pt>
                <c:pt idx="82">
                  <c:v>49.9</c:v>
                </c:pt>
                <c:pt idx="83">
                  <c:v>50.2</c:v>
                </c:pt>
                <c:pt idx="84">
                  <c:v>50.3</c:v>
                </c:pt>
                <c:pt idx="85">
                  <c:v>50.1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FB-4091-993F-2E13E056D5C6}"/>
            </c:ext>
          </c:extLst>
        </c:ser>
        <c:ser>
          <c:idx val="2"/>
          <c:order val="2"/>
          <c:tx>
            <c:strRef>
              <c:f>'(검증2)개별 Trend Chart'!$C$51</c:f>
              <c:strCache>
                <c:ptCount val="1"/>
                <c:pt idx="0">
                  <c:v>상한값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'(검증2)개별 Trend Chart'!$C$52:$C$137</c:f>
              <c:numCache>
                <c:formatCode>0.000</c:formatCode>
                <c:ptCount val="86"/>
                <c:pt idx="0">
                  <c:v>50.471234172221415</c:v>
                </c:pt>
                <c:pt idx="1">
                  <c:v>50.471234172221415</c:v>
                </c:pt>
                <c:pt idx="2">
                  <c:v>50.471234172221415</c:v>
                </c:pt>
                <c:pt idx="3">
                  <c:v>50.471234172221415</c:v>
                </c:pt>
                <c:pt idx="4">
                  <c:v>50.471234172221415</c:v>
                </c:pt>
                <c:pt idx="5">
                  <c:v>50.471234172221415</c:v>
                </c:pt>
                <c:pt idx="6">
                  <c:v>50.471234172221415</c:v>
                </c:pt>
                <c:pt idx="7">
                  <c:v>50.471234172221415</c:v>
                </c:pt>
                <c:pt idx="8">
                  <c:v>50.471234172221415</c:v>
                </c:pt>
                <c:pt idx="9">
                  <c:v>50.471234172221415</c:v>
                </c:pt>
                <c:pt idx="10">
                  <c:v>50.471234172221415</c:v>
                </c:pt>
                <c:pt idx="11">
                  <c:v>50.471234172221415</c:v>
                </c:pt>
                <c:pt idx="12">
                  <c:v>50.471234172221415</c:v>
                </c:pt>
                <c:pt idx="13">
                  <c:v>50.471234172221415</c:v>
                </c:pt>
                <c:pt idx="14">
                  <c:v>50.471234172221415</c:v>
                </c:pt>
                <c:pt idx="15">
                  <c:v>50.471234172221415</c:v>
                </c:pt>
                <c:pt idx="16">
                  <c:v>50.471234172221415</c:v>
                </c:pt>
                <c:pt idx="17">
                  <c:v>50.471234172221415</c:v>
                </c:pt>
                <c:pt idx="18">
                  <c:v>50.471234172221415</c:v>
                </c:pt>
                <c:pt idx="19">
                  <c:v>50.471234172221415</c:v>
                </c:pt>
                <c:pt idx="20">
                  <c:v>50.471234172221415</c:v>
                </c:pt>
                <c:pt idx="21">
                  <c:v>50.471234172221415</c:v>
                </c:pt>
                <c:pt idx="22">
                  <c:v>50.471234172221415</c:v>
                </c:pt>
                <c:pt idx="23">
                  <c:v>50.471234172221415</c:v>
                </c:pt>
                <c:pt idx="24">
                  <c:v>50.471234172221415</c:v>
                </c:pt>
                <c:pt idx="25">
                  <c:v>50.471234172221415</c:v>
                </c:pt>
                <c:pt idx="26">
                  <c:v>50.471234172221415</c:v>
                </c:pt>
                <c:pt idx="27">
                  <c:v>50.471234172221415</c:v>
                </c:pt>
                <c:pt idx="28">
                  <c:v>50.471234172221415</c:v>
                </c:pt>
                <c:pt idx="29">
                  <c:v>50.471234172221415</c:v>
                </c:pt>
                <c:pt idx="30">
                  <c:v>50.471234172221415</c:v>
                </c:pt>
                <c:pt idx="31">
                  <c:v>50.471234172221415</c:v>
                </c:pt>
                <c:pt idx="32">
                  <c:v>50.471234172221415</c:v>
                </c:pt>
                <c:pt idx="33">
                  <c:v>50.471234172221415</c:v>
                </c:pt>
                <c:pt idx="34">
                  <c:v>50.471234172221415</c:v>
                </c:pt>
                <c:pt idx="35">
                  <c:v>50.471234172221415</c:v>
                </c:pt>
                <c:pt idx="36">
                  <c:v>50.471234172221415</c:v>
                </c:pt>
                <c:pt idx="37">
                  <c:v>50.471234172221415</c:v>
                </c:pt>
                <c:pt idx="38">
                  <c:v>50.471234172221415</c:v>
                </c:pt>
                <c:pt idx="39">
                  <c:v>50.471234172221415</c:v>
                </c:pt>
                <c:pt idx="40">
                  <c:v>50.471234172221415</c:v>
                </c:pt>
                <c:pt idx="41">
                  <c:v>50.471234172221415</c:v>
                </c:pt>
                <c:pt idx="42">
                  <c:v>50.471234172221415</c:v>
                </c:pt>
                <c:pt idx="43">
                  <c:v>50.471234172221415</c:v>
                </c:pt>
                <c:pt idx="44">
                  <c:v>50.471234172221415</c:v>
                </c:pt>
                <c:pt idx="45">
                  <c:v>50.471234172221415</c:v>
                </c:pt>
                <c:pt idx="46">
                  <c:v>50.471234172221415</c:v>
                </c:pt>
                <c:pt idx="47">
                  <c:v>50.471234172221415</c:v>
                </c:pt>
                <c:pt idx="48">
                  <c:v>50.471234172221415</c:v>
                </c:pt>
                <c:pt idx="49">
                  <c:v>50.471234172221415</c:v>
                </c:pt>
                <c:pt idx="50">
                  <c:v>50.471234172221415</c:v>
                </c:pt>
                <c:pt idx="51">
                  <c:v>50.471234172221415</c:v>
                </c:pt>
                <c:pt idx="52">
                  <c:v>50.471234172221415</c:v>
                </c:pt>
                <c:pt idx="53">
                  <c:v>50.471234172221415</c:v>
                </c:pt>
                <c:pt idx="54">
                  <c:v>50.471234172221415</c:v>
                </c:pt>
                <c:pt idx="55">
                  <c:v>50.471234172221415</c:v>
                </c:pt>
                <c:pt idx="56">
                  <c:v>50.471234172221415</c:v>
                </c:pt>
                <c:pt idx="57">
                  <c:v>50.471234172221415</c:v>
                </c:pt>
                <c:pt idx="58">
                  <c:v>50.471234172221415</c:v>
                </c:pt>
                <c:pt idx="59">
                  <c:v>50.471234172221415</c:v>
                </c:pt>
                <c:pt idx="60">
                  <c:v>50.471234172221415</c:v>
                </c:pt>
                <c:pt idx="61">
                  <c:v>50.471234172221415</c:v>
                </c:pt>
                <c:pt idx="62">
                  <c:v>50.471234172221415</c:v>
                </c:pt>
                <c:pt idx="63">
                  <c:v>50.471234172221415</c:v>
                </c:pt>
                <c:pt idx="64">
                  <c:v>50.471234172221415</c:v>
                </c:pt>
                <c:pt idx="65">
                  <c:v>50.471234172221415</c:v>
                </c:pt>
                <c:pt idx="66">
                  <c:v>50.471234172221415</c:v>
                </c:pt>
                <c:pt idx="67">
                  <c:v>50.471234172221415</c:v>
                </c:pt>
                <c:pt idx="68">
                  <c:v>50.471234172221415</c:v>
                </c:pt>
                <c:pt idx="69">
                  <c:v>50.471234172221415</c:v>
                </c:pt>
                <c:pt idx="70">
                  <c:v>50.471234172221415</c:v>
                </c:pt>
                <c:pt idx="71">
                  <c:v>50.471234172221415</c:v>
                </c:pt>
                <c:pt idx="72">
                  <c:v>50.471234172221415</c:v>
                </c:pt>
                <c:pt idx="73">
                  <c:v>50.471234172221415</c:v>
                </c:pt>
                <c:pt idx="74">
                  <c:v>50.471234172221415</c:v>
                </c:pt>
                <c:pt idx="75">
                  <c:v>50.471234172221415</c:v>
                </c:pt>
                <c:pt idx="76">
                  <c:v>50.471234172221415</c:v>
                </c:pt>
                <c:pt idx="77">
                  <c:v>50.471234172221415</c:v>
                </c:pt>
                <c:pt idx="78">
                  <c:v>50.471234172221415</c:v>
                </c:pt>
                <c:pt idx="79">
                  <c:v>50.471234172221415</c:v>
                </c:pt>
                <c:pt idx="80">
                  <c:v>50.471234172221415</c:v>
                </c:pt>
                <c:pt idx="81">
                  <c:v>50.471234172221415</c:v>
                </c:pt>
                <c:pt idx="82">
                  <c:v>50.471234172221415</c:v>
                </c:pt>
                <c:pt idx="83">
                  <c:v>50.471234172221415</c:v>
                </c:pt>
                <c:pt idx="84">
                  <c:v>50.471234172221415</c:v>
                </c:pt>
                <c:pt idx="85">
                  <c:v>50.471234172221415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FB-4091-993F-2E13E056D5C6}"/>
            </c:ext>
          </c:extLst>
        </c:ser>
        <c:ser>
          <c:idx val="3"/>
          <c:order val="3"/>
          <c:tx>
            <c:strRef>
              <c:f>'(검증2)개별 Trend Chart'!$D$51</c:f>
              <c:strCache>
                <c:ptCount val="1"/>
                <c:pt idx="0">
                  <c:v>하한값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'(검증2)개별 Trend Chart'!$D$52:$D$137</c:f>
              <c:numCache>
                <c:formatCode>0.000</c:formatCode>
                <c:ptCount val="86"/>
                <c:pt idx="0">
                  <c:v>48.182254199871664</c:v>
                </c:pt>
                <c:pt idx="1">
                  <c:v>48.182254199871664</c:v>
                </c:pt>
                <c:pt idx="2">
                  <c:v>48.182254199871664</c:v>
                </c:pt>
                <c:pt idx="3">
                  <c:v>48.182254199871664</c:v>
                </c:pt>
                <c:pt idx="4">
                  <c:v>48.182254199871664</c:v>
                </c:pt>
                <c:pt idx="5">
                  <c:v>48.182254199871664</c:v>
                </c:pt>
                <c:pt idx="6">
                  <c:v>48.182254199871664</c:v>
                </c:pt>
                <c:pt idx="7">
                  <c:v>48.182254199871664</c:v>
                </c:pt>
                <c:pt idx="8">
                  <c:v>48.182254199871664</c:v>
                </c:pt>
                <c:pt idx="9">
                  <c:v>48.182254199871664</c:v>
                </c:pt>
                <c:pt idx="10">
                  <c:v>48.182254199871664</c:v>
                </c:pt>
                <c:pt idx="11">
                  <c:v>48.182254199871664</c:v>
                </c:pt>
                <c:pt idx="12">
                  <c:v>48.182254199871664</c:v>
                </c:pt>
                <c:pt idx="13">
                  <c:v>48.182254199871664</c:v>
                </c:pt>
                <c:pt idx="14">
                  <c:v>48.182254199871664</c:v>
                </c:pt>
                <c:pt idx="15">
                  <c:v>48.182254199871664</c:v>
                </c:pt>
                <c:pt idx="16">
                  <c:v>48.182254199871664</c:v>
                </c:pt>
                <c:pt idx="17">
                  <c:v>48.182254199871664</c:v>
                </c:pt>
                <c:pt idx="18">
                  <c:v>48.182254199871664</c:v>
                </c:pt>
                <c:pt idx="19">
                  <c:v>48.182254199871664</c:v>
                </c:pt>
                <c:pt idx="20">
                  <c:v>48.182254199871664</c:v>
                </c:pt>
                <c:pt idx="21">
                  <c:v>48.182254199871664</c:v>
                </c:pt>
                <c:pt idx="22">
                  <c:v>48.182254199871664</c:v>
                </c:pt>
                <c:pt idx="23">
                  <c:v>48.182254199871664</c:v>
                </c:pt>
                <c:pt idx="24">
                  <c:v>48.182254199871664</c:v>
                </c:pt>
                <c:pt idx="25">
                  <c:v>48.182254199871664</c:v>
                </c:pt>
                <c:pt idx="26">
                  <c:v>48.182254199871664</c:v>
                </c:pt>
                <c:pt idx="27">
                  <c:v>48.182254199871664</c:v>
                </c:pt>
                <c:pt idx="28">
                  <c:v>48.182254199871664</c:v>
                </c:pt>
                <c:pt idx="29">
                  <c:v>48.182254199871664</c:v>
                </c:pt>
                <c:pt idx="30">
                  <c:v>48.182254199871664</c:v>
                </c:pt>
                <c:pt idx="31">
                  <c:v>48.182254199871664</c:v>
                </c:pt>
                <c:pt idx="32">
                  <c:v>48.182254199871664</c:v>
                </c:pt>
                <c:pt idx="33">
                  <c:v>48.182254199871664</c:v>
                </c:pt>
                <c:pt idx="34">
                  <c:v>48.182254199871664</c:v>
                </c:pt>
                <c:pt idx="35">
                  <c:v>48.182254199871664</c:v>
                </c:pt>
                <c:pt idx="36">
                  <c:v>48.182254199871664</c:v>
                </c:pt>
                <c:pt idx="37">
                  <c:v>48.182254199871664</c:v>
                </c:pt>
                <c:pt idx="38">
                  <c:v>48.182254199871664</c:v>
                </c:pt>
                <c:pt idx="39">
                  <c:v>48.182254199871664</c:v>
                </c:pt>
                <c:pt idx="40">
                  <c:v>48.182254199871664</c:v>
                </c:pt>
                <c:pt idx="41">
                  <c:v>48.182254199871664</c:v>
                </c:pt>
                <c:pt idx="42">
                  <c:v>48.182254199871664</c:v>
                </c:pt>
                <c:pt idx="43">
                  <c:v>48.182254199871664</c:v>
                </c:pt>
                <c:pt idx="44">
                  <c:v>48.182254199871664</c:v>
                </c:pt>
                <c:pt idx="45">
                  <c:v>48.182254199871664</c:v>
                </c:pt>
                <c:pt idx="46">
                  <c:v>48.182254199871664</c:v>
                </c:pt>
                <c:pt idx="47">
                  <c:v>48.182254199871664</c:v>
                </c:pt>
                <c:pt idx="48">
                  <c:v>48.182254199871664</c:v>
                </c:pt>
                <c:pt idx="49">
                  <c:v>48.182254199871664</c:v>
                </c:pt>
                <c:pt idx="50">
                  <c:v>48.182254199871664</c:v>
                </c:pt>
                <c:pt idx="51">
                  <c:v>48.182254199871664</c:v>
                </c:pt>
                <c:pt idx="52">
                  <c:v>48.182254199871664</c:v>
                </c:pt>
                <c:pt idx="53">
                  <c:v>48.182254199871664</c:v>
                </c:pt>
                <c:pt idx="54">
                  <c:v>48.182254199871664</c:v>
                </c:pt>
                <c:pt idx="55">
                  <c:v>48.182254199871664</c:v>
                </c:pt>
                <c:pt idx="56">
                  <c:v>48.182254199871664</c:v>
                </c:pt>
                <c:pt idx="57">
                  <c:v>48.182254199871664</c:v>
                </c:pt>
                <c:pt idx="58">
                  <c:v>48.182254199871664</c:v>
                </c:pt>
                <c:pt idx="59">
                  <c:v>48.182254199871664</c:v>
                </c:pt>
                <c:pt idx="60">
                  <c:v>48.182254199871664</c:v>
                </c:pt>
                <c:pt idx="61">
                  <c:v>48.182254199871664</c:v>
                </c:pt>
                <c:pt idx="62">
                  <c:v>48.182254199871664</c:v>
                </c:pt>
                <c:pt idx="63">
                  <c:v>48.182254199871664</c:v>
                </c:pt>
                <c:pt idx="64">
                  <c:v>48.182254199871664</c:v>
                </c:pt>
                <c:pt idx="65">
                  <c:v>48.182254199871664</c:v>
                </c:pt>
                <c:pt idx="66">
                  <c:v>48.182254199871664</c:v>
                </c:pt>
                <c:pt idx="67">
                  <c:v>48.182254199871664</c:v>
                </c:pt>
                <c:pt idx="68">
                  <c:v>48.182254199871664</c:v>
                </c:pt>
                <c:pt idx="69">
                  <c:v>48.182254199871664</c:v>
                </c:pt>
                <c:pt idx="70">
                  <c:v>48.182254199871664</c:v>
                </c:pt>
                <c:pt idx="71">
                  <c:v>48.182254199871664</c:v>
                </c:pt>
                <c:pt idx="72">
                  <c:v>48.182254199871664</c:v>
                </c:pt>
                <c:pt idx="73">
                  <c:v>48.182254199871664</c:v>
                </c:pt>
                <c:pt idx="74">
                  <c:v>48.182254199871664</c:v>
                </c:pt>
                <c:pt idx="75">
                  <c:v>48.182254199871664</c:v>
                </c:pt>
                <c:pt idx="76">
                  <c:v>48.182254199871664</c:v>
                </c:pt>
                <c:pt idx="77">
                  <c:v>48.182254199871664</c:v>
                </c:pt>
                <c:pt idx="78">
                  <c:v>48.182254199871664</c:v>
                </c:pt>
                <c:pt idx="79">
                  <c:v>48.182254199871664</c:v>
                </c:pt>
                <c:pt idx="80">
                  <c:v>48.182254199871664</c:v>
                </c:pt>
                <c:pt idx="81">
                  <c:v>48.182254199871664</c:v>
                </c:pt>
                <c:pt idx="82">
                  <c:v>48.182254199871664</c:v>
                </c:pt>
                <c:pt idx="83">
                  <c:v>48.182254199871664</c:v>
                </c:pt>
                <c:pt idx="84">
                  <c:v>48.182254199871664</c:v>
                </c:pt>
                <c:pt idx="85">
                  <c:v>48.182254199871664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9FB-4091-993F-2E13E056D5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6566472"/>
        <c:axId val="61656680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'(검증2)개별 Trend Chart'!$A$51</c15:sqref>
                        </c15:formulaRef>
                      </c:ext>
                    </c:extLst>
                    <c:strCache>
                      <c:ptCount val="1"/>
                      <c:pt idx="0">
                        <c:v>Count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'(검증2)개별 Trend Chart'!$A$52:$A$137</c15:sqref>
                        </c15:formulaRef>
                      </c:ext>
                    </c:extLst>
                    <c:numCache>
                      <c:formatCode>General</c:formatCode>
                      <c:ptCount val="8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09FB-4091-993F-2E13E056D5C6}"/>
                  </c:ext>
                </c:extLst>
              </c15:ser>
            </c15:filteredLineSeries>
          </c:ext>
        </c:extLst>
      </c:lineChart>
      <c:catAx>
        <c:axId val="6165664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ore-KR"/>
          </a:p>
        </c:txPr>
        <c:crossAx val="616566800"/>
        <c:crosses val="autoZero"/>
        <c:auto val="1"/>
        <c:lblAlgn val="ctr"/>
        <c:lblOffset val="100"/>
        <c:noMultiLvlLbl val="0"/>
      </c:catAx>
      <c:valAx>
        <c:axId val="61656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ore-KR"/>
          </a:p>
        </c:txPr>
        <c:crossAx val="616566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ore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ore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Trend</a:t>
            </a:r>
            <a:r>
              <a:rPr lang="en-US" altLang="ko-KR" baseline="0"/>
              <a:t> Chart of LOT#2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ore-KR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'(검증2)개별 Trend Chart'!$G$51</c:f>
              <c:strCache>
                <c:ptCount val="1"/>
                <c:pt idx="0">
                  <c:v>Value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'(검증2)개별 Trend Chart'!$G$52:$G$115</c:f>
              <c:numCache>
                <c:formatCode>0.000</c:formatCode>
                <c:ptCount val="64"/>
                <c:pt idx="0">
                  <c:v>49.9</c:v>
                </c:pt>
                <c:pt idx="1">
                  <c:v>49.7</c:v>
                </c:pt>
                <c:pt idx="2">
                  <c:v>49.8</c:v>
                </c:pt>
                <c:pt idx="3">
                  <c:v>49.9</c:v>
                </c:pt>
                <c:pt idx="4">
                  <c:v>49.9</c:v>
                </c:pt>
                <c:pt idx="5">
                  <c:v>49.8</c:v>
                </c:pt>
                <c:pt idx="6">
                  <c:v>50</c:v>
                </c:pt>
                <c:pt idx="7">
                  <c:v>49.8</c:v>
                </c:pt>
                <c:pt idx="8">
                  <c:v>49.7</c:v>
                </c:pt>
                <c:pt idx="9">
                  <c:v>49.3</c:v>
                </c:pt>
                <c:pt idx="10">
                  <c:v>49.5</c:v>
                </c:pt>
                <c:pt idx="11">
                  <c:v>49.4</c:v>
                </c:pt>
                <c:pt idx="12">
                  <c:v>49.5</c:v>
                </c:pt>
                <c:pt idx="13">
                  <c:v>49.4</c:v>
                </c:pt>
                <c:pt idx="14">
                  <c:v>49.6</c:v>
                </c:pt>
                <c:pt idx="15">
                  <c:v>49.4</c:v>
                </c:pt>
                <c:pt idx="16">
                  <c:v>49.6</c:v>
                </c:pt>
                <c:pt idx="17">
                  <c:v>49.4</c:v>
                </c:pt>
                <c:pt idx="18">
                  <c:v>49.5</c:v>
                </c:pt>
                <c:pt idx="19">
                  <c:v>49.2</c:v>
                </c:pt>
                <c:pt idx="20">
                  <c:v>49.7</c:v>
                </c:pt>
                <c:pt idx="21">
                  <c:v>49.8</c:v>
                </c:pt>
                <c:pt idx="22">
                  <c:v>49.9</c:v>
                </c:pt>
                <c:pt idx="23">
                  <c:v>49.9</c:v>
                </c:pt>
                <c:pt idx="24">
                  <c:v>49.7</c:v>
                </c:pt>
                <c:pt idx="25">
                  <c:v>49.8</c:v>
                </c:pt>
                <c:pt idx="26">
                  <c:v>49.8</c:v>
                </c:pt>
                <c:pt idx="27">
                  <c:v>49.9</c:v>
                </c:pt>
                <c:pt idx="28">
                  <c:v>49.8</c:v>
                </c:pt>
                <c:pt idx="29">
                  <c:v>49.8</c:v>
                </c:pt>
                <c:pt idx="30">
                  <c:v>49.9</c:v>
                </c:pt>
                <c:pt idx="31">
                  <c:v>49.7</c:v>
                </c:pt>
                <c:pt idx="32">
                  <c:v>49.9</c:v>
                </c:pt>
                <c:pt idx="33">
                  <c:v>49.8</c:v>
                </c:pt>
                <c:pt idx="34">
                  <c:v>49.6</c:v>
                </c:pt>
                <c:pt idx="35">
                  <c:v>49.6</c:v>
                </c:pt>
                <c:pt idx="36">
                  <c:v>49.8</c:v>
                </c:pt>
                <c:pt idx="37">
                  <c:v>49.9</c:v>
                </c:pt>
                <c:pt idx="38">
                  <c:v>50</c:v>
                </c:pt>
                <c:pt idx="39">
                  <c:v>49.6</c:v>
                </c:pt>
                <c:pt idx="40">
                  <c:v>49.9</c:v>
                </c:pt>
                <c:pt idx="41">
                  <c:v>49.9</c:v>
                </c:pt>
                <c:pt idx="42">
                  <c:v>49.8</c:v>
                </c:pt>
                <c:pt idx="43">
                  <c:v>49.6</c:v>
                </c:pt>
                <c:pt idx="44">
                  <c:v>49.8</c:v>
                </c:pt>
                <c:pt idx="45">
                  <c:v>49.7</c:v>
                </c:pt>
                <c:pt idx="46">
                  <c:v>49.5</c:v>
                </c:pt>
                <c:pt idx="47">
                  <c:v>49</c:v>
                </c:pt>
                <c:pt idx="48">
                  <c:v>49.4</c:v>
                </c:pt>
                <c:pt idx="49">
                  <c:v>49.2</c:v>
                </c:pt>
                <c:pt idx="50">
                  <c:v>49.8</c:v>
                </c:pt>
                <c:pt idx="51">
                  <c:v>49.6</c:v>
                </c:pt>
                <c:pt idx="52">
                  <c:v>49.4</c:v>
                </c:pt>
                <c:pt idx="53">
                  <c:v>49.6</c:v>
                </c:pt>
                <c:pt idx="54">
                  <c:v>49.8</c:v>
                </c:pt>
                <c:pt idx="55">
                  <c:v>49.7</c:v>
                </c:pt>
                <c:pt idx="56">
                  <c:v>49.8</c:v>
                </c:pt>
                <c:pt idx="57">
                  <c:v>49.8</c:v>
                </c:pt>
                <c:pt idx="58">
                  <c:v>50</c:v>
                </c:pt>
                <c:pt idx="59">
                  <c:v>50.1</c:v>
                </c:pt>
                <c:pt idx="60">
                  <c:v>50</c:v>
                </c:pt>
                <c:pt idx="61">
                  <c:v>50</c:v>
                </c:pt>
                <c:pt idx="62">
                  <c:v>49.9</c:v>
                </c:pt>
                <c:pt idx="63">
                  <c:v>50.1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A4-48BF-950E-8A3C59A2FC92}"/>
            </c:ext>
          </c:extLst>
        </c:ser>
        <c:ser>
          <c:idx val="2"/>
          <c:order val="1"/>
          <c:tx>
            <c:strRef>
              <c:f>'(검증2)개별 Trend Chart'!$H$51</c:f>
              <c:strCache>
                <c:ptCount val="1"/>
                <c:pt idx="0">
                  <c:v>상한값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'(검증2)개별 Trend Chart'!$H$52:$H$115</c:f>
              <c:numCache>
                <c:formatCode>0.000</c:formatCode>
                <c:ptCount val="64"/>
                <c:pt idx="0">
                  <c:v>50.087730413587778</c:v>
                </c:pt>
                <c:pt idx="1">
                  <c:v>50.087730413587778</c:v>
                </c:pt>
                <c:pt idx="2">
                  <c:v>50.087730413587778</c:v>
                </c:pt>
                <c:pt idx="3">
                  <c:v>50.087730413587778</c:v>
                </c:pt>
                <c:pt idx="4">
                  <c:v>50.087730413587778</c:v>
                </c:pt>
                <c:pt idx="5">
                  <c:v>50.087730413587778</c:v>
                </c:pt>
                <c:pt idx="6">
                  <c:v>50.087730413587778</c:v>
                </c:pt>
                <c:pt idx="7">
                  <c:v>50.087730413587778</c:v>
                </c:pt>
                <c:pt idx="8">
                  <c:v>50.087730413587778</c:v>
                </c:pt>
                <c:pt idx="9">
                  <c:v>50.087730413587778</c:v>
                </c:pt>
                <c:pt idx="10">
                  <c:v>50.087730413587778</c:v>
                </c:pt>
                <c:pt idx="11">
                  <c:v>50.087730413587778</c:v>
                </c:pt>
                <c:pt idx="12">
                  <c:v>50.087730413587778</c:v>
                </c:pt>
                <c:pt idx="13">
                  <c:v>50.087730413587778</c:v>
                </c:pt>
                <c:pt idx="14">
                  <c:v>50.087730413587778</c:v>
                </c:pt>
                <c:pt idx="15">
                  <c:v>50.087730413587778</c:v>
                </c:pt>
                <c:pt idx="16">
                  <c:v>50.087730413587778</c:v>
                </c:pt>
                <c:pt idx="17">
                  <c:v>50.087730413587778</c:v>
                </c:pt>
                <c:pt idx="18">
                  <c:v>50.087730413587778</c:v>
                </c:pt>
                <c:pt idx="19">
                  <c:v>50.087730413587778</c:v>
                </c:pt>
                <c:pt idx="20">
                  <c:v>50.087730413587778</c:v>
                </c:pt>
                <c:pt idx="21">
                  <c:v>50.087730413587778</c:v>
                </c:pt>
                <c:pt idx="22">
                  <c:v>50.087730413587778</c:v>
                </c:pt>
                <c:pt idx="23">
                  <c:v>50.087730413587778</c:v>
                </c:pt>
                <c:pt idx="24">
                  <c:v>50.087730413587778</c:v>
                </c:pt>
                <c:pt idx="25">
                  <c:v>50.087730413587778</c:v>
                </c:pt>
                <c:pt idx="26">
                  <c:v>50.087730413587778</c:v>
                </c:pt>
                <c:pt idx="27">
                  <c:v>50.087730413587778</c:v>
                </c:pt>
                <c:pt idx="28">
                  <c:v>50.087730413587778</c:v>
                </c:pt>
                <c:pt idx="29">
                  <c:v>50.087730413587778</c:v>
                </c:pt>
                <c:pt idx="30">
                  <c:v>50.087730413587778</c:v>
                </c:pt>
                <c:pt idx="31">
                  <c:v>50.087730413587778</c:v>
                </c:pt>
                <c:pt idx="32">
                  <c:v>50.087730413587778</c:v>
                </c:pt>
                <c:pt idx="33">
                  <c:v>50.087730413587778</c:v>
                </c:pt>
                <c:pt idx="34">
                  <c:v>50.087730413587778</c:v>
                </c:pt>
                <c:pt idx="35">
                  <c:v>50.087730413587778</c:v>
                </c:pt>
                <c:pt idx="36">
                  <c:v>50.087730413587778</c:v>
                </c:pt>
                <c:pt idx="37">
                  <c:v>50.087730413587778</c:v>
                </c:pt>
                <c:pt idx="38">
                  <c:v>50.087730413587778</c:v>
                </c:pt>
                <c:pt idx="39">
                  <c:v>50.087730413587778</c:v>
                </c:pt>
                <c:pt idx="40">
                  <c:v>50.087730413587778</c:v>
                </c:pt>
                <c:pt idx="41">
                  <c:v>50.087730413587778</c:v>
                </c:pt>
                <c:pt idx="42">
                  <c:v>50.087730413587778</c:v>
                </c:pt>
                <c:pt idx="43">
                  <c:v>50.087730413587778</c:v>
                </c:pt>
                <c:pt idx="44">
                  <c:v>50.087730413587778</c:v>
                </c:pt>
                <c:pt idx="45">
                  <c:v>50.087730413587778</c:v>
                </c:pt>
                <c:pt idx="46">
                  <c:v>50.087730413587778</c:v>
                </c:pt>
                <c:pt idx="47">
                  <c:v>50.087730413587778</c:v>
                </c:pt>
                <c:pt idx="48">
                  <c:v>50.087730413587778</c:v>
                </c:pt>
                <c:pt idx="49">
                  <c:v>50.087730413587778</c:v>
                </c:pt>
                <c:pt idx="50">
                  <c:v>50.087730413587778</c:v>
                </c:pt>
                <c:pt idx="51">
                  <c:v>50.087730413587778</c:v>
                </c:pt>
                <c:pt idx="52">
                  <c:v>50.087730413587778</c:v>
                </c:pt>
                <c:pt idx="53">
                  <c:v>50.087730413587778</c:v>
                </c:pt>
                <c:pt idx="54">
                  <c:v>50.087730413587778</c:v>
                </c:pt>
                <c:pt idx="55">
                  <c:v>50.087730413587778</c:v>
                </c:pt>
                <c:pt idx="56">
                  <c:v>50.087730413587778</c:v>
                </c:pt>
                <c:pt idx="57">
                  <c:v>50.087730413587778</c:v>
                </c:pt>
                <c:pt idx="58">
                  <c:v>50.087730413587778</c:v>
                </c:pt>
                <c:pt idx="59">
                  <c:v>50.087730413587778</c:v>
                </c:pt>
                <c:pt idx="60">
                  <c:v>50.087730413587778</c:v>
                </c:pt>
                <c:pt idx="61">
                  <c:v>50.087730413587778</c:v>
                </c:pt>
                <c:pt idx="62">
                  <c:v>50.087730413587778</c:v>
                </c:pt>
                <c:pt idx="63">
                  <c:v>50.087730413587778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A4-48BF-950E-8A3C59A2FC92}"/>
            </c:ext>
          </c:extLst>
        </c:ser>
        <c:ser>
          <c:idx val="3"/>
          <c:order val="2"/>
          <c:tx>
            <c:strRef>
              <c:f>'(검증2)개별 Trend Chart'!$I$51</c:f>
              <c:strCache>
                <c:ptCount val="1"/>
                <c:pt idx="0">
                  <c:v>하한값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'(검증2)개별 Trend Chart'!$I$52:$I$115</c:f>
              <c:numCache>
                <c:formatCode>0.000</c:formatCode>
                <c:ptCount val="64"/>
                <c:pt idx="0">
                  <c:v>49.337269586412233</c:v>
                </c:pt>
                <c:pt idx="1">
                  <c:v>49.337269586412233</c:v>
                </c:pt>
                <c:pt idx="2">
                  <c:v>49.337269586412233</c:v>
                </c:pt>
                <c:pt idx="3">
                  <c:v>49.337269586412233</c:v>
                </c:pt>
                <c:pt idx="4">
                  <c:v>49.337269586412233</c:v>
                </c:pt>
                <c:pt idx="5">
                  <c:v>49.337269586412233</c:v>
                </c:pt>
                <c:pt idx="6">
                  <c:v>49.337269586412233</c:v>
                </c:pt>
                <c:pt idx="7">
                  <c:v>49.337269586412233</c:v>
                </c:pt>
                <c:pt idx="8">
                  <c:v>49.337269586412233</c:v>
                </c:pt>
                <c:pt idx="9">
                  <c:v>49.337269586412233</c:v>
                </c:pt>
                <c:pt idx="10">
                  <c:v>49.337269586412233</c:v>
                </c:pt>
                <c:pt idx="11">
                  <c:v>49.337269586412233</c:v>
                </c:pt>
                <c:pt idx="12">
                  <c:v>49.337269586412233</c:v>
                </c:pt>
                <c:pt idx="13">
                  <c:v>49.337269586412233</c:v>
                </c:pt>
                <c:pt idx="14">
                  <c:v>49.337269586412233</c:v>
                </c:pt>
                <c:pt idx="15">
                  <c:v>49.337269586412233</c:v>
                </c:pt>
                <c:pt idx="16">
                  <c:v>49.337269586412233</c:v>
                </c:pt>
                <c:pt idx="17">
                  <c:v>49.337269586412233</c:v>
                </c:pt>
                <c:pt idx="18">
                  <c:v>49.337269586412233</c:v>
                </c:pt>
                <c:pt idx="19">
                  <c:v>49.337269586412233</c:v>
                </c:pt>
                <c:pt idx="20">
                  <c:v>49.337269586412233</c:v>
                </c:pt>
                <c:pt idx="21">
                  <c:v>49.337269586412233</c:v>
                </c:pt>
                <c:pt idx="22">
                  <c:v>49.337269586412233</c:v>
                </c:pt>
                <c:pt idx="23">
                  <c:v>49.337269586412233</c:v>
                </c:pt>
                <c:pt idx="24">
                  <c:v>49.337269586412233</c:v>
                </c:pt>
                <c:pt idx="25">
                  <c:v>49.337269586412233</c:v>
                </c:pt>
                <c:pt idx="26">
                  <c:v>49.337269586412233</c:v>
                </c:pt>
                <c:pt idx="27">
                  <c:v>49.337269586412233</c:v>
                </c:pt>
                <c:pt idx="28">
                  <c:v>49.337269586412233</c:v>
                </c:pt>
                <c:pt idx="29">
                  <c:v>49.337269586412233</c:v>
                </c:pt>
                <c:pt idx="30">
                  <c:v>49.337269586412233</c:v>
                </c:pt>
                <c:pt idx="31">
                  <c:v>49.337269586412233</c:v>
                </c:pt>
                <c:pt idx="32">
                  <c:v>49.337269586412233</c:v>
                </c:pt>
                <c:pt idx="33">
                  <c:v>49.337269586412233</c:v>
                </c:pt>
                <c:pt idx="34">
                  <c:v>49.337269586412233</c:v>
                </c:pt>
                <c:pt idx="35">
                  <c:v>49.337269586412233</c:v>
                </c:pt>
                <c:pt idx="36">
                  <c:v>49.337269586412233</c:v>
                </c:pt>
                <c:pt idx="37">
                  <c:v>49.337269586412233</c:v>
                </c:pt>
                <c:pt idx="38">
                  <c:v>49.337269586412233</c:v>
                </c:pt>
                <c:pt idx="39">
                  <c:v>49.337269586412233</c:v>
                </c:pt>
                <c:pt idx="40">
                  <c:v>49.337269586412233</c:v>
                </c:pt>
                <c:pt idx="41">
                  <c:v>49.337269586412233</c:v>
                </c:pt>
                <c:pt idx="42">
                  <c:v>49.337269586412233</c:v>
                </c:pt>
                <c:pt idx="43">
                  <c:v>49.337269586412233</c:v>
                </c:pt>
                <c:pt idx="44">
                  <c:v>49.337269586412233</c:v>
                </c:pt>
                <c:pt idx="45">
                  <c:v>49.337269586412233</c:v>
                </c:pt>
                <c:pt idx="46">
                  <c:v>49.337269586412233</c:v>
                </c:pt>
                <c:pt idx="47">
                  <c:v>49.337269586412233</c:v>
                </c:pt>
                <c:pt idx="48">
                  <c:v>49.337269586412233</c:v>
                </c:pt>
                <c:pt idx="49">
                  <c:v>49.337269586412233</c:v>
                </c:pt>
                <c:pt idx="50">
                  <c:v>49.337269586412233</c:v>
                </c:pt>
                <c:pt idx="51">
                  <c:v>49.337269586412233</c:v>
                </c:pt>
                <c:pt idx="52">
                  <c:v>49.337269586412233</c:v>
                </c:pt>
                <c:pt idx="53">
                  <c:v>49.337269586412233</c:v>
                </c:pt>
                <c:pt idx="54">
                  <c:v>49.337269586412233</c:v>
                </c:pt>
                <c:pt idx="55">
                  <c:v>49.337269586412233</c:v>
                </c:pt>
                <c:pt idx="56">
                  <c:v>49.337269586412233</c:v>
                </c:pt>
                <c:pt idx="57">
                  <c:v>49.337269586412233</c:v>
                </c:pt>
                <c:pt idx="58">
                  <c:v>49.337269586412233</c:v>
                </c:pt>
                <c:pt idx="59">
                  <c:v>49.337269586412233</c:v>
                </c:pt>
                <c:pt idx="60">
                  <c:v>49.337269586412233</c:v>
                </c:pt>
                <c:pt idx="61">
                  <c:v>49.337269586412233</c:v>
                </c:pt>
                <c:pt idx="62">
                  <c:v>49.337269586412233</c:v>
                </c:pt>
                <c:pt idx="63">
                  <c:v>49.337269586412233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BA4-48BF-950E-8A3C59A2FC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4982976"/>
        <c:axId val="624983304"/>
      </c:lineChart>
      <c:catAx>
        <c:axId val="6249829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ore-KR"/>
          </a:p>
        </c:txPr>
        <c:crossAx val="624983304"/>
        <c:crosses val="autoZero"/>
        <c:auto val="1"/>
        <c:lblAlgn val="ctr"/>
        <c:lblOffset val="100"/>
        <c:noMultiLvlLbl val="0"/>
      </c:catAx>
      <c:valAx>
        <c:axId val="624983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ore-KR"/>
          </a:p>
        </c:txPr>
        <c:crossAx val="624982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ore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ore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</xdr:row>
      <xdr:rowOff>90486</xdr:rowOff>
    </xdr:from>
    <xdr:to>
      <xdr:col>11</xdr:col>
      <xdr:colOff>676275</xdr:colOff>
      <xdr:row>24</xdr:row>
      <xdr:rowOff>76199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42861</xdr:colOff>
      <xdr:row>26</xdr:row>
      <xdr:rowOff>14286</xdr:rowOff>
    </xdr:from>
    <xdr:to>
      <xdr:col>11</xdr:col>
      <xdr:colOff>685799</xdr:colOff>
      <xdr:row>47</xdr:row>
      <xdr:rowOff>171449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2"/>
  <sheetViews>
    <sheetView workbookViewId="0">
      <selection activeCell="G22" sqref="G22:G23"/>
    </sheetView>
  </sheetViews>
  <sheetFormatPr baseColWidth="10" defaultColWidth="9" defaultRowHeight="15"/>
  <cols>
    <col min="1" max="1" width="4.33203125" style="14" bestFit="1" customWidth="1"/>
    <col min="2" max="2" width="12.83203125" style="6" bestFit="1" customWidth="1"/>
    <col min="3" max="3" width="23.83203125" style="6" bestFit="1" customWidth="1"/>
    <col min="4" max="4" width="10" style="6" bestFit="1" customWidth="1"/>
    <col min="5" max="5" width="11.83203125" style="6" bestFit="1" customWidth="1"/>
    <col min="6" max="6" width="11.1640625" style="6" bestFit="1" customWidth="1"/>
    <col min="7" max="7" width="8" style="6" bestFit="1" customWidth="1"/>
    <col min="8" max="9" width="9" style="6"/>
    <col min="10" max="10" width="6.33203125" style="6" bestFit="1" customWidth="1"/>
    <col min="11" max="11" width="9.1640625" style="6" customWidth="1"/>
    <col min="12" max="13" width="9" style="6"/>
    <col min="14" max="14" width="8.6640625" style="6" customWidth="1"/>
    <col min="15" max="16384" width="9" style="6"/>
  </cols>
  <sheetData>
    <row r="1" spans="1:14" ht="16.5" customHeight="1" thickBot="1">
      <c r="A1" s="44" t="s">
        <v>200</v>
      </c>
      <c r="M1" s="14"/>
    </row>
    <row r="2" spans="1:14">
      <c r="A2" s="28" t="s">
        <v>189</v>
      </c>
      <c r="B2" s="29" t="s">
        <v>180</v>
      </c>
      <c r="C2" s="29" t="s">
        <v>181</v>
      </c>
      <c r="D2" s="29" t="s">
        <v>190</v>
      </c>
      <c r="E2" s="29" t="s">
        <v>193</v>
      </c>
      <c r="F2" s="29" t="s">
        <v>192</v>
      </c>
      <c r="G2" s="30" t="s">
        <v>195</v>
      </c>
      <c r="H2" s="56" t="s">
        <v>207</v>
      </c>
      <c r="I2" s="56" t="s">
        <v>208</v>
      </c>
      <c r="K2" s="9" t="s">
        <v>199</v>
      </c>
      <c r="L2" s="9"/>
      <c r="M2" s="26">
        <v>1</v>
      </c>
    </row>
    <row r="3" spans="1:14">
      <c r="A3" s="21">
        <v>1</v>
      </c>
      <c r="B3" s="31" t="s">
        <v>191</v>
      </c>
      <c r="C3" s="31" t="s">
        <v>10</v>
      </c>
      <c r="D3" s="31">
        <f>'01 정보1'!B87</f>
        <v>86</v>
      </c>
      <c r="E3" s="22">
        <f>AVERAGE('01 정보1'!D2:D87)</f>
        <v>44.610465116279094</v>
      </c>
      <c r="F3" s="22">
        <f>_xlfn.STDEV.P('01 정보1'!D2:D87)</f>
        <v>0.52118582807649083</v>
      </c>
      <c r="G3" s="32">
        <f>IF($M$2=$K$7,$L$7,IF($M$2=$K$8,$L$8,IF($M$2=$K$9,$L$9,$L$10)))</f>
        <v>1.645</v>
      </c>
      <c r="H3" s="56">
        <f>E3+F3*G3</f>
        <v>45.467815803464923</v>
      </c>
      <c r="I3" s="56">
        <f>E3-F3*G3</f>
        <v>43.753114429093266</v>
      </c>
    </row>
    <row r="4" spans="1:14">
      <c r="A4" s="33">
        <v>1</v>
      </c>
      <c r="B4" s="34" t="s">
        <v>183</v>
      </c>
      <c r="C4" s="34" t="s">
        <v>184</v>
      </c>
      <c r="D4" s="34">
        <f>'01 정보1'!B173</f>
        <v>86</v>
      </c>
      <c r="E4" s="35">
        <f>AVERAGE('01 정보1'!D88:D173)</f>
        <v>49.32674418604654</v>
      </c>
      <c r="F4" s="35">
        <f>_xlfn.STDEV.P('01 정보1'!D88:D173)</f>
        <v>0.69573859341937794</v>
      </c>
      <c r="G4" s="36">
        <f>IF($M$2=$K$7,$L$7,IF($M$2=$K$8,$L$8,IF($M$2=$K$9,$L$9,$L$10)))</f>
        <v>1.645</v>
      </c>
      <c r="H4" s="56">
        <f t="shared" ref="H4:H11" si="0">E4+F4*G4</f>
        <v>50.471234172221415</v>
      </c>
      <c r="I4" s="56">
        <f t="shared" ref="I4:I11" si="1">E4-F4*G4</f>
        <v>48.182254199871664</v>
      </c>
    </row>
    <row r="5" spans="1:14" ht="16" thickBot="1">
      <c r="A5" s="21">
        <v>1</v>
      </c>
      <c r="B5" s="31" t="s">
        <v>185</v>
      </c>
      <c r="C5" s="31" t="s">
        <v>186</v>
      </c>
      <c r="D5" s="31">
        <f>'01 정보1'!B259</f>
        <v>86</v>
      </c>
      <c r="E5" s="22">
        <f>AVERAGE('01 정보1'!D174:D259)</f>
        <v>45.230232558139512</v>
      </c>
      <c r="F5" s="22">
        <f>_xlfn.STDEV.P('01 정보1'!D174:D259)</f>
        <v>0.76448337433697156</v>
      </c>
      <c r="G5" s="32">
        <f>IF($M$2=$K$7,$L$7,IF($M$2=$K$8,$L$8,IF($M$2=$K$9,$L$9,$L$10)))</f>
        <v>1.645</v>
      </c>
      <c r="H5" s="56">
        <f t="shared" si="0"/>
        <v>46.487807708923832</v>
      </c>
      <c r="I5" s="56">
        <f t="shared" si="1"/>
        <v>43.972657407355193</v>
      </c>
    </row>
    <row r="6" spans="1:14">
      <c r="A6" s="33">
        <v>1</v>
      </c>
      <c r="B6" s="34" t="s">
        <v>187</v>
      </c>
      <c r="C6" s="34" t="s">
        <v>188</v>
      </c>
      <c r="D6" s="34">
        <f>'01 정보1'!B345</f>
        <v>86</v>
      </c>
      <c r="E6" s="35">
        <f>AVERAGE('01 정보1'!D260:D345)</f>
        <v>-5.7558139534883717</v>
      </c>
      <c r="F6" s="35">
        <f>_xlfn.STDEV.P('01 정보1'!D260:D345)</f>
        <v>1.034925528290626</v>
      </c>
      <c r="G6" s="36">
        <f>IF($M$2=$K$7,$L$7,IF($M$2=$K$8,$L$8,IF($M$2=$K$9,$L$9,$L$10)))</f>
        <v>1.645</v>
      </c>
      <c r="H6" s="56">
        <f t="shared" si="0"/>
        <v>-4.0533614594502918</v>
      </c>
      <c r="I6" s="56">
        <f t="shared" si="1"/>
        <v>-7.4582664475264515</v>
      </c>
      <c r="K6" s="19" t="s">
        <v>198</v>
      </c>
      <c r="L6" s="27" t="s">
        <v>197</v>
      </c>
      <c r="M6" s="20"/>
    </row>
    <row r="7" spans="1:14">
      <c r="A7" s="41"/>
      <c r="B7" s="42"/>
      <c r="C7" s="42"/>
      <c r="D7" s="42"/>
      <c r="E7" s="43"/>
      <c r="F7" s="43"/>
      <c r="G7" s="42"/>
      <c r="H7" s="56"/>
      <c r="I7" s="56"/>
      <c r="K7" s="21">
        <v>1</v>
      </c>
      <c r="L7" s="22">
        <v>1.645</v>
      </c>
      <c r="M7" s="17">
        <v>0.9</v>
      </c>
    </row>
    <row r="8" spans="1:14">
      <c r="A8" s="21">
        <v>2</v>
      </c>
      <c r="B8" s="31" t="s">
        <v>182</v>
      </c>
      <c r="C8" s="31" t="s">
        <v>10</v>
      </c>
      <c r="D8" s="31">
        <f>'02 정보2'!B65</f>
        <v>64</v>
      </c>
      <c r="E8" s="22">
        <f>AVERAGE('02 정보2'!D2:D65)</f>
        <v>39.945312500000014</v>
      </c>
      <c r="F8" s="22">
        <f>_xlfn.STDEV.P('02 정보2'!D2:D65)</f>
        <v>0.28500531107989879</v>
      </c>
      <c r="G8" s="32">
        <f>IF($M$2=$K$7,$L$7,IF($M$2=$K$8,$L$8,IF($M$2=$K$9,$L$9,$L$10)))</f>
        <v>1.645</v>
      </c>
      <c r="H8" s="56">
        <f t="shared" si="0"/>
        <v>40.414146236726445</v>
      </c>
      <c r="I8" s="56">
        <f t="shared" si="1"/>
        <v>39.476478763273583</v>
      </c>
      <c r="K8" s="21">
        <v>2</v>
      </c>
      <c r="L8" s="22">
        <v>1.96</v>
      </c>
      <c r="M8" s="17">
        <v>0.95</v>
      </c>
    </row>
    <row r="9" spans="1:14">
      <c r="A9" s="33">
        <v>2</v>
      </c>
      <c r="B9" s="34" t="s">
        <v>183</v>
      </c>
      <c r="C9" s="34" t="s">
        <v>184</v>
      </c>
      <c r="D9" s="34">
        <f>'02 정보2'!B129</f>
        <v>64</v>
      </c>
      <c r="E9" s="35">
        <f>AVERAGE('02 정보2'!D66:D129)</f>
        <v>49.712500000000006</v>
      </c>
      <c r="F9" s="35">
        <f>_xlfn.STDEV.P('02 정보2'!D66:D129)</f>
        <v>0.22810359488618279</v>
      </c>
      <c r="G9" s="36">
        <f>IF($M$2=$K$7,$L$7,IF($M$2=$K$8,$L$8,IF($M$2=$K$9,$L$9,$L$10)))</f>
        <v>1.645</v>
      </c>
      <c r="H9" s="56">
        <f t="shared" si="0"/>
        <v>50.087730413587778</v>
      </c>
      <c r="I9" s="56">
        <f t="shared" si="1"/>
        <v>49.337269586412233</v>
      </c>
      <c r="K9" s="21">
        <v>3</v>
      </c>
      <c r="L9" s="22">
        <v>2.58</v>
      </c>
      <c r="M9" s="17">
        <v>0.99</v>
      </c>
    </row>
    <row r="10" spans="1:14" ht="16" thickBot="1">
      <c r="A10" s="21">
        <v>2</v>
      </c>
      <c r="B10" s="31" t="s">
        <v>185</v>
      </c>
      <c r="C10" s="31" t="s">
        <v>186</v>
      </c>
      <c r="D10" s="31">
        <f>'02 정보2'!B193</f>
        <v>64</v>
      </c>
      <c r="E10" s="22">
        <f>AVERAGE('02 정보2'!D130:D193)</f>
        <v>45.18437500000001</v>
      </c>
      <c r="F10" s="22">
        <f>_xlfn.STDEV.P('02 정보2'!D130:D193)</f>
        <v>0.74103364253925808</v>
      </c>
      <c r="G10" s="32">
        <f>IF($M$2=$K$7,$L$7,IF($M$2=$K$8,$L$8,IF($M$2=$K$9,$L$9,$L$10)))</f>
        <v>1.645</v>
      </c>
      <c r="H10" s="56">
        <f t="shared" si="0"/>
        <v>46.403375341977089</v>
      </c>
      <c r="I10" s="56">
        <f t="shared" si="1"/>
        <v>43.965374658022931</v>
      </c>
      <c r="K10" s="23">
        <v>4</v>
      </c>
      <c r="L10" s="24">
        <v>4.5</v>
      </c>
      <c r="M10" s="18">
        <v>0.999</v>
      </c>
    </row>
    <row r="11" spans="1:14" ht="16" thickBot="1">
      <c r="A11" s="37">
        <v>2</v>
      </c>
      <c r="B11" s="38" t="s">
        <v>187</v>
      </c>
      <c r="C11" s="38" t="s">
        <v>188</v>
      </c>
      <c r="D11" s="38">
        <f>'02 정보2'!B257</f>
        <v>64</v>
      </c>
      <c r="E11" s="39">
        <f>AVERAGE('02 정보2'!D194:D257)</f>
        <v>-5.9562499999999998</v>
      </c>
      <c r="F11" s="39">
        <f>_xlfn.STDEV.P('02 정보2'!D194:D257)</f>
        <v>1.0147159393150349</v>
      </c>
      <c r="G11" s="40">
        <f>IF($M$2=$K$7,$L$7,IF($M$2=$K$8,$L$8,IF($M$2=$K$9,$L$9,$L$10)))</f>
        <v>1.645</v>
      </c>
      <c r="H11" s="56">
        <f t="shared" si="0"/>
        <v>-4.2870422798267676</v>
      </c>
      <c r="I11" s="56">
        <f t="shared" si="1"/>
        <v>-7.6254577201732321</v>
      </c>
    </row>
    <row r="14" spans="1:14" ht="19" thickBot="1">
      <c r="A14" s="44" t="s">
        <v>201</v>
      </c>
    </row>
    <row r="15" spans="1:14" ht="16" thickBot="1">
      <c r="A15" s="28" t="s">
        <v>189</v>
      </c>
      <c r="B15" s="29" t="s">
        <v>180</v>
      </c>
      <c r="C15" s="29" t="s">
        <v>181</v>
      </c>
      <c r="D15" s="29" t="s">
        <v>190</v>
      </c>
      <c r="E15" s="29" t="s">
        <v>193</v>
      </c>
      <c r="F15" s="29" t="s">
        <v>192</v>
      </c>
      <c r="G15" s="29" t="s">
        <v>202</v>
      </c>
      <c r="H15" s="29" t="s">
        <v>203</v>
      </c>
      <c r="I15" s="30" t="s">
        <v>204</v>
      </c>
      <c r="K15" s="9" t="s">
        <v>205</v>
      </c>
      <c r="L15" s="9"/>
      <c r="M15" s="54">
        <v>1</v>
      </c>
      <c r="N15" s="56">
        <f>IF(M15=K17, L17, IF(M15=K18, L18, L19))</f>
        <v>1.645</v>
      </c>
    </row>
    <row r="16" spans="1:14">
      <c r="A16" s="21">
        <v>1</v>
      </c>
      <c r="B16" s="31" t="s">
        <v>191</v>
      </c>
      <c r="C16" s="31" t="s">
        <v>10</v>
      </c>
      <c r="D16" s="31">
        <f>D3</f>
        <v>86</v>
      </c>
      <c r="E16" s="22">
        <f>E3</f>
        <v>44.610465116279094</v>
      </c>
      <c r="F16" s="22">
        <f>F3</f>
        <v>0.52118582807649083</v>
      </c>
      <c r="G16" s="68">
        <f>ABS((E16-E17)/SQRT(ABS((F16^2/D16)+(F17^2/D17))))</f>
        <v>70.109240573099413</v>
      </c>
      <c r="H16" s="68">
        <f>IF(F16&gt;F17, F16^2/F17^2, F17^2/F16^2)</f>
        <v>3.3441002603478647</v>
      </c>
      <c r="I16" s="49" t="str">
        <f>IF(G16&lt;N15, "OK", "NG")</f>
        <v>NG</v>
      </c>
      <c r="K16" s="19" t="s">
        <v>198</v>
      </c>
      <c r="L16" s="27" t="s">
        <v>197</v>
      </c>
      <c r="M16" s="20"/>
      <c r="N16" s="56"/>
    </row>
    <row r="17" spans="1:14">
      <c r="A17" s="21">
        <v>2</v>
      </c>
      <c r="B17" s="31" t="s">
        <v>182</v>
      </c>
      <c r="C17" s="31" t="s">
        <v>10</v>
      </c>
      <c r="D17" s="31">
        <f>D8</f>
        <v>64</v>
      </c>
      <c r="E17" s="22">
        <f>E8</f>
        <v>39.945312500000014</v>
      </c>
      <c r="F17" s="22">
        <f>F8</f>
        <v>0.28500531107989879</v>
      </c>
      <c r="G17" s="69"/>
      <c r="H17" s="69"/>
      <c r="I17" s="50" t="str">
        <f>IF(H16&lt;N22, "OK", "NG")</f>
        <v>NG</v>
      </c>
      <c r="K17" s="21">
        <v>1</v>
      </c>
      <c r="L17" s="22">
        <v>1.645</v>
      </c>
      <c r="M17" s="17">
        <v>0.9</v>
      </c>
      <c r="N17" s="56"/>
    </row>
    <row r="18" spans="1:14">
      <c r="I18" s="14"/>
      <c r="K18" s="21">
        <v>2</v>
      </c>
      <c r="L18" s="22">
        <v>1.96</v>
      </c>
      <c r="M18" s="17">
        <v>0.95</v>
      </c>
      <c r="N18" s="56"/>
    </row>
    <row r="19" spans="1:14" ht="16" thickBot="1">
      <c r="A19" s="33">
        <v>1</v>
      </c>
      <c r="B19" s="34" t="s">
        <v>183</v>
      </c>
      <c r="C19" s="34" t="s">
        <v>184</v>
      </c>
      <c r="D19" s="34">
        <f>D4</f>
        <v>86</v>
      </c>
      <c r="E19" s="35">
        <f>E4</f>
        <v>49.32674418604654</v>
      </c>
      <c r="F19" s="35">
        <f>F4</f>
        <v>0.69573859341937794</v>
      </c>
      <c r="G19" s="66">
        <f>ABS((E19-E20)/SQRT(ABS((F19^2/D19)+(F20^2/D20))))</f>
        <v>4.8063888463209201</v>
      </c>
      <c r="H19" s="66">
        <f>IF(F19&gt;F20, F19^2/F20^2, F20^2/F19^2)</f>
        <v>9.3031051603253125</v>
      </c>
      <c r="I19" s="51" t="str">
        <f>IF(G19&lt;N15,"OK","NG")</f>
        <v>NG</v>
      </c>
      <c r="K19" s="23">
        <v>3</v>
      </c>
      <c r="L19" s="24">
        <v>2.58</v>
      </c>
      <c r="M19" s="18">
        <v>0.99</v>
      </c>
      <c r="N19" s="56"/>
    </row>
    <row r="20" spans="1:14">
      <c r="A20" s="33">
        <v>2</v>
      </c>
      <c r="B20" s="34" t="s">
        <v>183</v>
      </c>
      <c r="C20" s="34" t="s">
        <v>184</v>
      </c>
      <c r="D20" s="34">
        <f>D9</f>
        <v>64</v>
      </c>
      <c r="E20" s="35">
        <f>E9</f>
        <v>49.712500000000006</v>
      </c>
      <c r="F20" s="35">
        <f>F9</f>
        <v>0.22810359488618279</v>
      </c>
      <c r="G20" s="70"/>
      <c r="H20" s="70"/>
      <c r="I20" s="52" t="str">
        <f>IF(H19&lt;N22, "OK", "NG")</f>
        <v>NG</v>
      </c>
      <c r="K20" s="46"/>
      <c r="L20" s="47"/>
      <c r="M20" s="48"/>
      <c r="N20" s="56"/>
    </row>
    <row r="21" spans="1:14">
      <c r="I21" s="14"/>
      <c r="N21" s="56"/>
    </row>
    <row r="22" spans="1:14" ht="16" thickBot="1">
      <c r="A22" s="21">
        <v>1</v>
      </c>
      <c r="B22" s="31" t="s">
        <v>185</v>
      </c>
      <c r="C22" s="31" t="s">
        <v>186</v>
      </c>
      <c r="D22" s="31">
        <f>D5</f>
        <v>86</v>
      </c>
      <c r="E22" s="22">
        <f>E5</f>
        <v>45.230232558139512</v>
      </c>
      <c r="F22" s="22">
        <f>F5</f>
        <v>0.76448337433697156</v>
      </c>
      <c r="G22" s="68">
        <f>ABS((E22-E23)/SQRT(ABS((F22^2/D22)+(F23^2/D23))))</f>
        <v>0.36981993710616279</v>
      </c>
      <c r="H22" s="68">
        <f>IF(F22&gt;F23, F22^2/F23^2, F23^2/F22^2)</f>
        <v>1.0642906324784274</v>
      </c>
      <c r="I22" s="49" t="str">
        <f>IF(G22&lt;N15, "OK", "NG")</f>
        <v>OK</v>
      </c>
      <c r="K22" s="9" t="s">
        <v>206</v>
      </c>
      <c r="L22" s="9"/>
      <c r="M22" s="54">
        <v>1</v>
      </c>
      <c r="N22" s="56">
        <f>IF(M22=K24, L24, IF(M22=K25, L25, L26))</f>
        <v>1.26</v>
      </c>
    </row>
    <row r="23" spans="1:14">
      <c r="A23" s="21">
        <v>2</v>
      </c>
      <c r="B23" s="31" t="s">
        <v>185</v>
      </c>
      <c r="C23" s="31" t="s">
        <v>186</v>
      </c>
      <c r="D23" s="31">
        <f>D10</f>
        <v>64</v>
      </c>
      <c r="E23" s="22">
        <f>E10</f>
        <v>45.18437500000001</v>
      </c>
      <c r="F23" s="22">
        <f>F10</f>
        <v>0.74103364253925808</v>
      </c>
      <c r="G23" s="69"/>
      <c r="H23" s="69"/>
      <c r="I23" s="50" t="str">
        <f>IF(H22&lt;N22, "OK", "NG")</f>
        <v>OK</v>
      </c>
      <c r="K23" s="19" t="s">
        <v>198</v>
      </c>
      <c r="L23" s="27" t="s">
        <v>197</v>
      </c>
      <c r="M23" s="20"/>
      <c r="N23" s="56"/>
    </row>
    <row r="24" spans="1:14">
      <c r="I24" s="14"/>
      <c r="K24" s="21">
        <v>1</v>
      </c>
      <c r="L24" s="22">
        <v>1.26</v>
      </c>
      <c r="M24" s="17">
        <v>0.9</v>
      </c>
      <c r="N24" s="56"/>
    </row>
    <row r="25" spans="1:14">
      <c r="A25" s="33">
        <v>1</v>
      </c>
      <c r="B25" s="34" t="s">
        <v>187</v>
      </c>
      <c r="C25" s="34" t="s">
        <v>188</v>
      </c>
      <c r="D25" s="34">
        <f>D6</f>
        <v>86</v>
      </c>
      <c r="E25" s="35">
        <f>E6</f>
        <v>-5.7558139534883717</v>
      </c>
      <c r="F25" s="35">
        <f>F6</f>
        <v>1.034925528290626</v>
      </c>
      <c r="G25" s="66">
        <f>ABS((E25-E26)/SQRT(ABS((F25^2/D25)+(F26^2/D26))))</f>
        <v>1.1863949731129877</v>
      </c>
      <c r="H25" s="66">
        <f>IF(F25&gt;F26, F25^2/F26^2, F26^2/F25^2)</f>
        <v>1.0402296649021407</v>
      </c>
      <c r="I25" s="51" t="str">
        <f>IF(G25&lt;N15, "OK", "NG")</f>
        <v>OK</v>
      </c>
      <c r="K25" s="21">
        <v>2</v>
      </c>
      <c r="L25" s="22">
        <v>1.35</v>
      </c>
      <c r="M25" s="17">
        <v>0.95</v>
      </c>
      <c r="N25" s="56"/>
    </row>
    <row r="26" spans="1:14" ht="17.25" customHeight="1" thickBot="1">
      <c r="A26" s="37">
        <v>2</v>
      </c>
      <c r="B26" s="38" t="s">
        <v>187</v>
      </c>
      <c r="C26" s="38" t="s">
        <v>188</v>
      </c>
      <c r="D26" s="38">
        <f>D11</f>
        <v>64</v>
      </c>
      <c r="E26" s="39">
        <f>E11</f>
        <v>-5.9562499999999998</v>
      </c>
      <c r="F26" s="39">
        <f>F11</f>
        <v>1.0147159393150349</v>
      </c>
      <c r="G26" s="67"/>
      <c r="H26" s="67"/>
      <c r="I26" s="53" t="str">
        <f>IF(H25&lt;N22, "OK", "NG")</f>
        <v>OK</v>
      </c>
      <c r="K26" s="23">
        <v>3</v>
      </c>
      <c r="L26" s="24">
        <v>1.53</v>
      </c>
      <c r="M26" s="18">
        <v>0.99</v>
      </c>
      <c r="N26" s="56"/>
    </row>
    <row r="28" spans="1:14">
      <c r="N28" s="45"/>
    </row>
    <row r="29" spans="1:14">
      <c r="N29" s="45"/>
    </row>
    <row r="33" spans="2:11">
      <c r="B33" s="1" t="s">
        <v>0</v>
      </c>
      <c r="C33" s="1" t="s">
        <v>1</v>
      </c>
      <c r="D33" s="1" t="s">
        <v>2</v>
      </c>
      <c r="E33" s="1" t="s">
        <v>3</v>
      </c>
      <c r="F33" s="1" t="s">
        <v>4</v>
      </c>
      <c r="G33" s="1" t="s">
        <v>5</v>
      </c>
      <c r="H33" s="1" t="s">
        <v>6</v>
      </c>
      <c r="I33" s="1" t="s">
        <v>7</v>
      </c>
      <c r="J33" s="1" t="s">
        <v>8</v>
      </c>
    </row>
    <row r="34" spans="2:11">
      <c r="B34" s="2" t="s">
        <v>9</v>
      </c>
      <c r="C34" s="2" t="s">
        <v>10</v>
      </c>
      <c r="D34" s="3">
        <v>44.61</v>
      </c>
      <c r="E34" s="65">
        <v>0.52</v>
      </c>
      <c r="F34" s="3">
        <v>39.950000000000003</v>
      </c>
      <c r="G34" s="65">
        <v>0.28999999999999998</v>
      </c>
      <c r="H34" s="3">
        <v>106.849</v>
      </c>
      <c r="I34" s="3">
        <v>3.331</v>
      </c>
      <c r="J34" s="2" t="s">
        <v>11</v>
      </c>
    </row>
    <row r="35" spans="2:11">
      <c r="B35" s="2" t="s">
        <v>12</v>
      </c>
      <c r="C35" s="2" t="s">
        <v>13</v>
      </c>
      <c r="D35" s="65">
        <v>49.33</v>
      </c>
      <c r="E35" s="3">
        <v>0.7</v>
      </c>
      <c r="F35" s="3">
        <v>49.71</v>
      </c>
      <c r="G35" s="3">
        <v>0.23</v>
      </c>
      <c r="H35" s="3">
        <v>5.5279999999999996</v>
      </c>
      <c r="I35" s="3">
        <v>9.2650000000000006</v>
      </c>
      <c r="J35" s="2" t="s">
        <v>14</v>
      </c>
    </row>
    <row r="36" spans="2:11">
      <c r="B36" s="2" t="s">
        <v>15</v>
      </c>
      <c r="C36" s="2" t="s">
        <v>16</v>
      </c>
      <c r="D36" s="65">
        <v>-5.76</v>
      </c>
      <c r="E36" s="65">
        <v>1.04</v>
      </c>
      <c r="F36" s="3">
        <v>-5.96</v>
      </c>
      <c r="G36" s="65">
        <v>1.02</v>
      </c>
      <c r="H36" s="3">
        <v>3.2759999999999998</v>
      </c>
      <c r="I36" s="3">
        <v>1.036</v>
      </c>
      <c r="J36" s="2" t="s">
        <v>14</v>
      </c>
    </row>
    <row r="40" spans="2:11">
      <c r="B40" s="1" t="s">
        <v>0</v>
      </c>
      <c r="C40" s="1" t="s">
        <v>1</v>
      </c>
      <c r="D40" s="1" t="s">
        <v>171</v>
      </c>
      <c r="E40" s="1" t="s">
        <v>172</v>
      </c>
      <c r="F40" s="1" t="s">
        <v>173</v>
      </c>
      <c r="G40" s="1" t="s">
        <v>174</v>
      </c>
      <c r="H40" s="1" t="s">
        <v>175</v>
      </c>
      <c r="I40" s="1" t="s">
        <v>176</v>
      </c>
      <c r="J40" s="1" t="s">
        <v>177</v>
      </c>
      <c r="K40" s="1" t="s">
        <v>178</v>
      </c>
    </row>
    <row r="41" spans="2:11">
      <c r="B41" s="2" t="s">
        <v>9</v>
      </c>
      <c r="C41" s="2" t="s">
        <v>10</v>
      </c>
      <c r="D41" s="64">
        <v>0.52424266266400399</v>
      </c>
      <c r="E41" s="3">
        <v>0.52424000000000004</v>
      </c>
      <c r="F41" s="3">
        <v>0.52424000000000004</v>
      </c>
      <c r="G41" s="3">
        <v>0</v>
      </c>
      <c r="H41" s="3">
        <v>44.610465116279101</v>
      </c>
      <c r="I41" s="3">
        <v>44.610469999999999</v>
      </c>
      <c r="J41" s="3">
        <v>44.610469999999999</v>
      </c>
      <c r="K41" s="4">
        <v>0</v>
      </c>
    </row>
    <row r="42" spans="2:11">
      <c r="B42" s="2" t="s">
        <v>12</v>
      </c>
      <c r="C42" s="2" t="s">
        <v>13</v>
      </c>
      <c r="D42" s="3">
        <v>0.69981920667028197</v>
      </c>
      <c r="E42" s="3">
        <v>0.69982</v>
      </c>
      <c r="F42" s="3">
        <v>0.69982</v>
      </c>
      <c r="G42" s="3">
        <v>0</v>
      </c>
      <c r="H42" s="64">
        <v>49.326744186046497</v>
      </c>
      <c r="I42" s="3">
        <v>49.326740000000001</v>
      </c>
      <c r="J42" s="3">
        <v>49.326740000000001</v>
      </c>
      <c r="K42" s="4">
        <v>0</v>
      </c>
    </row>
    <row r="43" spans="2:11">
      <c r="B43" s="2" t="s">
        <v>106</v>
      </c>
      <c r="C43" s="6" t="s">
        <v>186</v>
      </c>
      <c r="D43" s="3">
        <v>0.76896718624121496</v>
      </c>
      <c r="E43" s="3">
        <v>0.76897000000000004</v>
      </c>
      <c r="F43" s="3">
        <v>0.76897000000000004</v>
      </c>
      <c r="G43" s="3">
        <v>0</v>
      </c>
      <c r="H43" s="3">
        <v>45.230232558139498</v>
      </c>
      <c r="I43" s="3">
        <v>45.230229999999999</v>
      </c>
      <c r="J43" s="3">
        <v>45.230229999999999</v>
      </c>
      <c r="K43" s="4">
        <v>0</v>
      </c>
    </row>
    <row r="44" spans="2:11">
      <c r="B44" s="2" t="s">
        <v>15</v>
      </c>
      <c r="C44" s="2" t="s">
        <v>16</v>
      </c>
      <c r="D44" s="64">
        <v>1.04099552478699</v>
      </c>
      <c r="E44" s="3">
        <v>1.0409999999999999</v>
      </c>
      <c r="F44" s="3">
        <v>1.0409999999999999</v>
      </c>
      <c r="G44" s="3">
        <v>0</v>
      </c>
      <c r="H44" s="64">
        <v>-5.7558139534883699</v>
      </c>
      <c r="I44" s="3">
        <v>-5.7558100000000003</v>
      </c>
      <c r="J44" s="3">
        <v>-5.7558100000000003</v>
      </c>
      <c r="K44" s="4">
        <v>0</v>
      </c>
    </row>
    <row r="48" spans="2:11">
      <c r="B48" s="1" t="s">
        <v>0</v>
      </c>
      <c r="C48" s="1" t="s">
        <v>1</v>
      </c>
      <c r="D48" s="1" t="s">
        <v>171</v>
      </c>
      <c r="E48" s="1" t="s">
        <v>172</v>
      </c>
      <c r="F48" s="1" t="s">
        <v>173</v>
      </c>
      <c r="G48" s="1" t="s">
        <v>174</v>
      </c>
      <c r="H48" s="1" t="s">
        <v>175</v>
      </c>
      <c r="I48" s="1" t="s">
        <v>176</v>
      </c>
      <c r="J48" s="1" t="s">
        <v>177</v>
      </c>
      <c r="K48" s="1" t="s">
        <v>178</v>
      </c>
    </row>
    <row r="49" spans="2:11">
      <c r="B49" s="2" t="s">
        <v>9</v>
      </c>
      <c r="C49" s="2" t="s">
        <v>10</v>
      </c>
      <c r="D49" s="64">
        <v>0.28725835255238602</v>
      </c>
      <c r="E49" s="3">
        <v>0.28726000000000002</v>
      </c>
      <c r="F49" s="3">
        <v>0.28726000000000002</v>
      </c>
      <c r="G49" s="3">
        <v>0</v>
      </c>
      <c r="H49" s="64">
        <v>39.9453125</v>
      </c>
      <c r="I49" s="3">
        <v>39.945309999999999</v>
      </c>
      <c r="J49" s="3">
        <v>39.945309999999999</v>
      </c>
      <c r="K49" s="4">
        <v>0</v>
      </c>
    </row>
    <row r="50" spans="2:11">
      <c r="B50" s="2" t="s">
        <v>12</v>
      </c>
      <c r="C50" s="2" t="s">
        <v>13</v>
      </c>
      <c r="D50" s="3">
        <v>0.229906813420444</v>
      </c>
      <c r="E50" s="3">
        <v>0.22991</v>
      </c>
      <c r="F50" s="3">
        <v>0.22991</v>
      </c>
      <c r="G50" s="3">
        <v>0</v>
      </c>
      <c r="H50" s="64">
        <v>49.712499999999999</v>
      </c>
      <c r="I50" s="3">
        <v>49.712499999999999</v>
      </c>
      <c r="J50" s="3">
        <v>49.712499999999999</v>
      </c>
      <c r="K50" s="4">
        <v>0</v>
      </c>
    </row>
    <row r="51" spans="2:11">
      <c r="B51" s="2" t="s">
        <v>106</v>
      </c>
      <c r="C51" s="6" t="s">
        <v>186</v>
      </c>
      <c r="D51" s="3">
        <v>0.74689170715855602</v>
      </c>
      <c r="E51" s="3">
        <v>0.74689000000000005</v>
      </c>
      <c r="F51" s="3">
        <v>0.74689000000000005</v>
      </c>
      <c r="G51" s="3">
        <v>0</v>
      </c>
      <c r="H51" s="3">
        <v>45.184375000000003</v>
      </c>
      <c r="I51" s="3">
        <v>45.184379999999997</v>
      </c>
      <c r="J51" s="3">
        <v>45.184379999999997</v>
      </c>
      <c r="K51" s="4">
        <v>0</v>
      </c>
    </row>
    <row r="52" spans="2:11">
      <c r="B52" s="2" t="s">
        <v>15</v>
      </c>
      <c r="C52" s="2" t="s">
        <v>16</v>
      </c>
      <c r="D52" s="64">
        <v>1.02273753401939</v>
      </c>
      <c r="E52" s="3">
        <v>1.02274</v>
      </c>
      <c r="F52" s="3">
        <v>1.02274</v>
      </c>
      <c r="G52" s="3">
        <v>0</v>
      </c>
      <c r="H52" s="64">
        <v>-5.9562499999999998</v>
      </c>
      <c r="I52" s="3">
        <v>-5.9562499999999998</v>
      </c>
      <c r="J52" s="3">
        <v>-5.9562499999999998</v>
      </c>
      <c r="K52" s="4">
        <v>0</v>
      </c>
    </row>
  </sheetData>
  <mergeCells count="8">
    <mergeCell ref="H25:H26"/>
    <mergeCell ref="G16:G17"/>
    <mergeCell ref="G19:G20"/>
    <mergeCell ref="G22:G23"/>
    <mergeCell ref="G25:G26"/>
    <mergeCell ref="H16:H17"/>
    <mergeCell ref="H19:H20"/>
    <mergeCell ref="H22:H23"/>
  </mergeCells>
  <phoneticPr fontId="2" type="noConversion"/>
  <conditionalFormatting sqref="I16:I26">
    <cfRule type="cellIs" dxfId="0" priority="1" operator="equal">
      <formula>"NG"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37"/>
  <sheetViews>
    <sheetView workbookViewId="0">
      <selection activeCell="B52" sqref="B52"/>
    </sheetView>
  </sheetViews>
  <sheetFormatPr baseColWidth="10" defaultColWidth="9" defaultRowHeight="15"/>
  <cols>
    <col min="1" max="1" width="10.6640625" style="60" customWidth="1"/>
    <col min="2" max="2" width="9" style="60"/>
    <col min="3" max="16384" width="9" style="6"/>
  </cols>
  <sheetData>
    <row r="1" spans="1:7">
      <c r="A1" s="63" t="s">
        <v>209</v>
      </c>
      <c r="F1" s="63" t="s">
        <v>214</v>
      </c>
    </row>
    <row r="2" spans="1:7">
      <c r="A2" s="63" t="s">
        <v>180</v>
      </c>
      <c r="B2" s="7" t="s">
        <v>12</v>
      </c>
      <c r="C2" s="60"/>
      <c r="D2" s="7" t="s">
        <v>9</v>
      </c>
      <c r="E2" s="7" t="s">
        <v>12</v>
      </c>
      <c r="F2" s="7" t="s">
        <v>106</v>
      </c>
      <c r="G2" s="7" t="s">
        <v>15</v>
      </c>
    </row>
    <row r="51" spans="1:9">
      <c r="A51" s="61" t="s">
        <v>210</v>
      </c>
      <c r="B51" s="60" t="s">
        <v>211</v>
      </c>
      <c r="C51" s="6" t="s">
        <v>212</v>
      </c>
      <c r="D51" s="6" t="s">
        <v>213</v>
      </c>
      <c r="F51" s="61" t="s">
        <v>210</v>
      </c>
      <c r="G51" s="60" t="s">
        <v>211</v>
      </c>
      <c r="H51" s="6" t="s">
        <v>212</v>
      </c>
      <c r="I51" s="6" t="s">
        <v>213</v>
      </c>
    </row>
    <row r="52" spans="1:9">
      <c r="A52" s="61">
        <f>IF($B$2=$D$2,'01 정보1'!B2,IF($B$2=$E$2,'01 정보1'!B88,IF($B$2=$F$2,'01 정보1'!B174,IF($B$2=$G$2,'01 정보1'!B260,"Error"))))</f>
        <v>1</v>
      </c>
      <c r="B52" s="62">
        <f>IF($B$2=$D$2,'01 정보1'!D2,IF($B$2=$E$2,'01 정보1'!D88,IF($B$2=$F$2,'01 정보1'!D174,IF($B$2=$G$2,'01 정보1'!D260,"Error"))))</f>
        <v>48.8</v>
      </c>
      <c r="C52" s="16">
        <f>IF($B$2=$D$2, '(검증1)이상치 검정'!$H$3, IF($B$2=$E$2, '(검증1)이상치 검정'!$H$4, IF($B$2=$F$2, '(검증1)이상치 검정'!$H$5, IF($B$2=$G$2, '(검증1)이상치 검정'!$H$6, "Error"))))</f>
        <v>50.471234172221415</v>
      </c>
      <c r="D52" s="16">
        <f>IF($B$2=$D$2, '(검증1)이상치 검정'!$I$3, IF($B$2=$E$2, '(검증1)이상치 검정'!$I$4, IF($B$2=$F$2, '(검증1)이상치 검정'!$I$5, IF($B$2=$G$2, '(검증1)이상치 검정'!$I$6, "Error"))))</f>
        <v>48.182254199871664</v>
      </c>
      <c r="F52" s="61">
        <f>IF($B$2=$D$2,'02 정보2'!B2,IF($B$2=$E$2,'02 정보2'!B66,IF($B$2=$F$2,'02 정보2'!B130,IF($B$2=$G$2,'02 정보2'!B194,"Error"))))</f>
        <v>1</v>
      </c>
      <c r="G52" s="62">
        <f>IF($B$2=$D$2,'02 정보2'!D2,IF($B$2=$E$2,'02 정보2'!D66,IF($B$2=$F$2,'02 정보2'!D130,IF($B$2=$G$2,'02 정보2'!D194,"Error"))))</f>
        <v>49.9</v>
      </c>
      <c r="H52" s="16">
        <f>IF($B$2=$D$2,'(검증1)이상치 검정'!$H$8, IF($B$2=$E$2,'(검증1)이상치 검정'!$H$9, IF($B$2=$F$2,'(검증1)이상치 검정'!$H$10, IF($B$2=$G$2,'(검증1)이상치 검정'!$H$11, "Error"))))</f>
        <v>50.087730413587778</v>
      </c>
      <c r="I52" s="16">
        <f>IF($B$2=$D$2,'(검증1)이상치 검정'!$I$8, IF($B$2=$E$2,'(검증1)이상치 검정'!$I$9, IF($B$2=$F$2,'(검증1)이상치 검정'!$I$10, IF($B$2=$G$2,'(검증1)이상치 검정'!$I$11, "Error"))))</f>
        <v>49.337269586412233</v>
      </c>
    </row>
    <row r="53" spans="1:9">
      <c r="A53" s="61">
        <f>IF($B$2=$D$2,'01 정보1'!B3,IF($B$2=$E$2,'01 정보1'!B89,IF($B$2=$F$2,'01 정보1'!B175,IF($B$2=$G$2,'01 정보1'!B261,"Error"))))</f>
        <v>2</v>
      </c>
      <c r="B53" s="62">
        <f>IF($B$2=$D$2,'01 정보1'!D3,IF($B$2=$E$2,'01 정보1'!D89,IF($B$2=$F$2,'01 정보1'!D175,IF($B$2=$G$2,'01 정보1'!D261,"Error"))))</f>
        <v>48.7</v>
      </c>
      <c r="C53" s="16">
        <f>IF($B$2=$D$2, '(검증1)이상치 검정'!$H$3, IF($B$2=$E$2, '(검증1)이상치 검정'!$H$4, IF($B$2=$F$2, '(검증1)이상치 검정'!$H$5, IF($B$2=$G$2, '(검증1)이상치 검정'!$H$6, "Error"))))</f>
        <v>50.471234172221415</v>
      </c>
      <c r="D53" s="16">
        <f>IF($B$2=$D$2, '(검증1)이상치 검정'!$I$3, IF($B$2=$E$2, '(검증1)이상치 검정'!$I$4, IF($B$2=$F$2, '(검증1)이상치 검정'!$I$5, IF($B$2=$G$2, '(검증1)이상치 검정'!$I$6, "Error"))))</f>
        <v>48.182254199871664</v>
      </c>
      <c r="F53" s="61">
        <f>IF($B$2=$D$2,'02 정보2'!B3,IF($B$2=$E$2,'02 정보2'!B67,IF($B$2=$F$2,'02 정보2'!B131,IF($B$2=$G$2,'02 정보2'!B195,"Error"))))</f>
        <v>2</v>
      </c>
      <c r="G53" s="62">
        <f>IF($B$2=$D$2,'02 정보2'!D3,IF($B$2=$E$2,'02 정보2'!D67,IF($B$2=$F$2,'02 정보2'!D131,IF($B$2=$G$2,'02 정보2'!D195,"Error"))))</f>
        <v>49.7</v>
      </c>
      <c r="H53" s="16">
        <f>IF($B$2=$D$2,'(검증1)이상치 검정'!$H$8, IF($B$2=$E$2,'(검증1)이상치 검정'!$H$9, IF($B$2=$F$2,'(검증1)이상치 검정'!$H$10, IF($B$2=$G$2,'(검증1)이상치 검정'!$H$11, "Error"))))</f>
        <v>50.087730413587778</v>
      </c>
      <c r="I53" s="16">
        <f>IF($B$2=$D$2,'(검증1)이상치 검정'!$I$8, IF($B$2=$E$2,'(검증1)이상치 검정'!$I$9, IF($B$2=$F$2,'(검증1)이상치 검정'!$I$10, IF($B$2=$G$2,'(검증1)이상치 검정'!$I$11, "Error"))))</f>
        <v>49.337269586412233</v>
      </c>
    </row>
    <row r="54" spans="1:9">
      <c r="A54" s="61">
        <f>IF($B$2=$D$2,'01 정보1'!B4,IF($B$2=$E$2,'01 정보1'!B90,IF($B$2=$F$2,'01 정보1'!B176,IF($B$2=$G$2,'01 정보1'!B262,"Error"))))</f>
        <v>3</v>
      </c>
      <c r="B54" s="62">
        <f>IF($B$2=$D$2,'01 정보1'!D4,IF($B$2=$E$2,'01 정보1'!D90,IF($B$2=$F$2,'01 정보1'!D176,IF($B$2=$G$2,'01 정보1'!D262,"Error"))))</f>
        <v>48.7</v>
      </c>
      <c r="C54" s="16">
        <f>IF($B$2=$D$2, '(검증1)이상치 검정'!$H$3, IF($B$2=$E$2, '(검증1)이상치 검정'!$H$4, IF($B$2=$F$2, '(검증1)이상치 검정'!$H$5, IF($B$2=$G$2, '(검증1)이상치 검정'!$H$6, "Error"))))</f>
        <v>50.471234172221415</v>
      </c>
      <c r="D54" s="16">
        <f>IF($B$2=$D$2, '(검증1)이상치 검정'!$I$3, IF($B$2=$E$2, '(검증1)이상치 검정'!$I$4, IF($B$2=$F$2, '(검증1)이상치 검정'!$I$5, IF($B$2=$G$2, '(검증1)이상치 검정'!$I$6, "Error"))))</f>
        <v>48.182254199871664</v>
      </c>
      <c r="F54" s="61">
        <f>IF($B$2=$D$2,'02 정보2'!B4,IF($B$2=$E$2,'02 정보2'!B68,IF($B$2=$F$2,'02 정보2'!B132,IF($B$2=$G$2,'02 정보2'!B196,"Error"))))</f>
        <v>3</v>
      </c>
      <c r="G54" s="62">
        <f>IF($B$2=$D$2,'02 정보2'!D4,IF($B$2=$E$2,'02 정보2'!D68,IF($B$2=$F$2,'02 정보2'!D132,IF($B$2=$G$2,'02 정보2'!D196,"Error"))))</f>
        <v>49.8</v>
      </c>
      <c r="H54" s="16">
        <f>IF($B$2=$D$2,'(검증1)이상치 검정'!$H$8, IF($B$2=$E$2,'(검증1)이상치 검정'!$H$9, IF($B$2=$F$2,'(검증1)이상치 검정'!$H$10, IF($B$2=$G$2,'(검증1)이상치 검정'!$H$11, "Error"))))</f>
        <v>50.087730413587778</v>
      </c>
      <c r="I54" s="16">
        <f>IF($B$2=$D$2,'(검증1)이상치 검정'!$I$8, IF($B$2=$E$2,'(검증1)이상치 검정'!$I$9, IF($B$2=$F$2,'(검증1)이상치 검정'!$I$10, IF($B$2=$G$2,'(검증1)이상치 검정'!$I$11, "Error"))))</f>
        <v>49.337269586412233</v>
      </c>
    </row>
    <row r="55" spans="1:9">
      <c r="A55" s="61">
        <f>IF($B$2=$D$2,'01 정보1'!B5,IF($B$2=$E$2,'01 정보1'!B91,IF($B$2=$F$2,'01 정보1'!B177,IF($B$2=$G$2,'01 정보1'!B263,"Error"))))</f>
        <v>4</v>
      </c>
      <c r="B55" s="62">
        <f>IF($B$2=$D$2,'01 정보1'!D5,IF($B$2=$E$2,'01 정보1'!D91,IF($B$2=$F$2,'01 정보1'!D177,IF($B$2=$G$2,'01 정보1'!D263,"Error"))))</f>
        <v>48.8</v>
      </c>
      <c r="C55" s="16">
        <f>IF($B$2=$D$2, '(검증1)이상치 검정'!$H$3, IF($B$2=$E$2, '(검증1)이상치 검정'!$H$4, IF($B$2=$F$2, '(검증1)이상치 검정'!$H$5, IF($B$2=$G$2, '(검증1)이상치 검정'!$H$6, "Error"))))</f>
        <v>50.471234172221415</v>
      </c>
      <c r="D55" s="16">
        <f>IF($B$2=$D$2, '(검증1)이상치 검정'!$I$3, IF($B$2=$E$2, '(검증1)이상치 검정'!$I$4, IF($B$2=$F$2, '(검증1)이상치 검정'!$I$5, IF($B$2=$G$2, '(검증1)이상치 검정'!$I$6, "Error"))))</f>
        <v>48.182254199871664</v>
      </c>
      <c r="F55" s="61">
        <f>IF($B$2=$D$2,'02 정보2'!B5,IF($B$2=$E$2,'02 정보2'!B69,IF($B$2=$F$2,'02 정보2'!B133,IF($B$2=$G$2,'02 정보2'!B197,"Error"))))</f>
        <v>4</v>
      </c>
      <c r="G55" s="62">
        <f>IF($B$2=$D$2,'02 정보2'!D5,IF($B$2=$E$2,'02 정보2'!D69,IF($B$2=$F$2,'02 정보2'!D133,IF($B$2=$G$2,'02 정보2'!D197,"Error"))))</f>
        <v>49.9</v>
      </c>
      <c r="H55" s="16">
        <f>IF($B$2=$D$2,'(검증1)이상치 검정'!$H$8, IF($B$2=$E$2,'(검증1)이상치 검정'!$H$9, IF($B$2=$F$2,'(검증1)이상치 검정'!$H$10, IF($B$2=$G$2,'(검증1)이상치 검정'!$H$11, "Error"))))</f>
        <v>50.087730413587778</v>
      </c>
      <c r="I55" s="16">
        <f>IF($B$2=$D$2,'(검증1)이상치 검정'!$I$8, IF($B$2=$E$2,'(검증1)이상치 검정'!$I$9, IF($B$2=$F$2,'(검증1)이상치 검정'!$I$10, IF($B$2=$G$2,'(검증1)이상치 검정'!$I$11, "Error"))))</f>
        <v>49.337269586412233</v>
      </c>
    </row>
    <row r="56" spans="1:9">
      <c r="A56" s="61">
        <f>IF($B$2=$D$2,'01 정보1'!B6,IF($B$2=$E$2,'01 정보1'!B92,IF($B$2=$F$2,'01 정보1'!B178,IF($B$2=$G$2,'01 정보1'!B264,"Error"))))</f>
        <v>5</v>
      </c>
      <c r="B56" s="62">
        <f>IF($B$2=$D$2,'01 정보1'!D6,IF($B$2=$E$2,'01 정보1'!D92,IF($B$2=$F$2,'01 정보1'!D178,IF($B$2=$G$2,'01 정보1'!D264,"Error"))))</f>
        <v>48.6</v>
      </c>
      <c r="C56" s="16">
        <f>IF($B$2=$D$2, '(검증1)이상치 검정'!$H$3, IF($B$2=$E$2, '(검증1)이상치 검정'!$H$4, IF($B$2=$F$2, '(검증1)이상치 검정'!$H$5, IF($B$2=$G$2, '(검증1)이상치 검정'!$H$6, "Error"))))</f>
        <v>50.471234172221415</v>
      </c>
      <c r="D56" s="16">
        <f>IF($B$2=$D$2, '(검증1)이상치 검정'!$I$3, IF($B$2=$E$2, '(검증1)이상치 검정'!$I$4, IF($B$2=$F$2, '(검증1)이상치 검정'!$I$5, IF($B$2=$G$2, '(검증1)이상치 검정'!$I$6, "Error"))))</f>
        <v>48.182254199871664</v>
      </c>
      <c r="F56" s="61">
        <f>IF($B$2=$D$2,'02 정보2'!B6,IF($B$2=$E$2,'02 정보2'!B70,IF($B$2=$F$2,'02 정보2'!B134,IF($B$2=$G$2,'02 정보2'!B198,"Error"))))</f>
        <v>5</v>
      </c>
      <c r="G56" s="62">
        <f>IF($B$2=$D$2,'02 정보2'!D6,IF($B$2=$E$2,'02 정보2'!D70,IF($B$2=$F$2,'02 정보2'!D134,IF($B$2=$G$2,'02 정보2'!D198,"Error"))))</f>
        <v>49.9</v>
      </c>
      <c r="H56" s="16">
        <f>IF($B$2=$D$2,'(검증1)이상치 검정'!$H$8, IF($B$2=$E$2,'(검증1)이상치 검정'!$H$9, IF($B$2=$F$2,'(검증1)이상치 검정'!$H$10, IF($B$2=$G$2,'(검증1)이상치 검정'!$H$11, "Error"))))</f>
        <v>50.087730413587778</v>
      </c>
      <c r="I56" s="16">
        <f>IF($B$2=$D$2,'(검증1)이상치 검정'!$I$8, IF($B$2=$E$2,'(검증1)이상치 검정'!$I$9, IF($B$2=$F$2,'(검증1)이상치 검정'!$I$10, IF($B$2=$G$2,'(검증1)이상치 검정'!$I$11, "Error"))))</f>
        <v>49.337269586412233</v>
      </c>
    </row>
    <row r="57" spans="1:9">
      <c r="A57" s="61">
        <f>IF($B$2=$D$2,'01 정보1'!B7,IF($B$2=$E$2,'01 정보1'!B93,IF($B$2=$F$2,'01 정보1'!B179,IF($B$2=$G$2,'01 정보1'!B265,"Error"))))</f>
        <v>6</v>
      </c>
      <c r="B57" s="62">
        <f>IF($B$2=$D$2,'01 정보1'!D7,IF($B$2=$E$2,'01 정보1'!D93,IF($B$2=$F$2,'01 정보1'!D179,IF($B$2=$G$2,'01 정보1'!D265,"Error"))))</f>
        <v>48.6</v>
      </c>
      <c r="C57" s="16">
        <f>IF($B$2=$D$2, '(검증1)이상치 검정'!$H$3, IF($B$2=$E$2, '(검증1)이상치 검정'!$H$4, IF($B$2=$F$2, '(검증1)이상치 검정'!$H$5, IF($B$2=$G$2, '(검증1)이상치 검정'!$H$6, "Error"))))</f>
        <v>50.471234172221415</v>
      </c>
      <c r="D57" s="16">
        <f>IF($B$2=$D$2, '(검증1)이상치 검정'!$I$3, IF($B$2=$E$2, '(검증1)이상치 검정'!$I$4, IF($B$2=$F$2, '(검증1)이상치 검정'!$I$5, IF($B$2=$G$2, '(검증1)이상치 검정'!$I$6, "Error"))))</f>
        <v>48.182254199871664</v>
      </c>
      <c r="F57" s="61">
        <f>IF($B$2=$D$2,'02 정보2'!B7,IF($B$2=$E$2,'02 정보2'!B71,IF($B$2=$F$2,'02 정보2'!B135,IF($B$2=$G$2,'02 정보2'!B199,"Error"))))</f>
        <v>6</v>
      </c>
      <c r="G57" s="62">
        <f>IF($B$2=$D$2,'02 정보2'!D7,IF($B$2=$E$2,'02 정보2'!D71,IF($B$2=$F$2,'02 정보2'!D135,IF($B$2=$G$2,'02 정보2'!D199,"Error"))))</f>
        <v>49.8</v>
      </c>
      <c r="H57" s="16">
        <f>IF($B$2=$D$2,'(검증1)이상치 검정'!$H$8, IF($B$2=$E$2,'(검증1)이상치 검정'!$H$9, IF($B$2=$F$2,'(검증1)이상치 검정'!$H$10, IF($B$2=$G$2,'(검증1)이상치 검정'!$H$11, "Error"))))</f>
        <v>50.087730413587778</v>
      </c>
      <c r="I57" s="16">
        <f>IF($B$2=$D$2,'(검증1)이상치 검정'!$I$8, IF($B$2=$E$2,'(검증1)이상치 검정'!$I$9, IF($B$2=$F$2,'(검증1)이상치 검정'!$I$10, IF($B$2=$G$2,'(검증1)이상치 검정'!$I$11, "Error"))))</f>
        <v>49.337269586412233</v>
      </c>
    </row>
    <row r="58" spans="1:9">
      <c r="A58" s="61">
        <f>IF($B$2=$D$2,'01 정보1'!B8,IF($B$2=$E$2,'01 정보1'!B94,IF($B$2=$F$2,'01 정보1'!B180,IF($B$2=$G$2,'01 정보1'!B266,"Error"))))</f>
        <v>7</v>
      </c>
      <c r="B58" s="62">
        <f>IF($B$2=$D$2,'01 정보1'!D8,IF($B$2=$E$2,'01 정보1'!D94,IF($B$2=$F$2,'01 정보1'!D180,IF($B$2=$G$2,'01 정보1'!D266,"Error"))))</f>
        <v>48.6</v>
      </c>
      <c r="C58" s="16">
        <f>IF($B$2=$D$2, '(검증1)이상치 검정'!$H$3, IF($B$2=$E$2, '(검증1)이상치 검정'!$H$4, IF($B$2=$F$2, '(검증1)이상치 검정'!$H$5, IF($B$2=$G$2, '(검증1)이상치 검정'!$H$6, "Error"))))</f>
        <v>50.471234172221415</v>
      </c>
      <c r="D58" s="16">
        <f>IF($B$2=$D$2, '(검증1)이상치 검정'!$I$3, IF($B$2=$E$2, '(검증1)이상치 검정'!$I$4, IF($B$2=$F$2, '(검증1)이상치 검정'!$I$5, IF($B$2=$G$2, '(검증1)이상치 검정'!$I$6, "Error"))))</f>
        <v>48.182254199871664</v>
      </c>
      <c r="F58" s="61">
        <f>IF($B$2=$D$2,'02 정보2'!B8,IF($B$2=$E$2,'02 정보2'!B72,IF($B$2=$F$2,'02 정보2'!B136,IF($B$2=$G$2,'02 정보2'!B200,"Error"))))</f>
        <v>7</v>
      </c>
      <c r="G58" s="62">
        <f>IF($B$2=$D$2,'02 정보2'!D8,IF($B$2=$E$2,'02 정보2'!D72,IF($B$2=$F$2,'02 정보2'!D136,IF($B$2=$G$2,'02 정보2'!D200,"Error"))))</f>
        <v>50</v>
      </c>
      <c r="H58" s="16">
        <f>IF($B$2=$D$2,'(검증1)이상치 검정'!$H$8, IF($B$2=$E$2,'(검증1)이상치 검정'!$H$9, IF($B$2=$F$2,'(검증1)이상치 검정'!$H$10, IF($B$2=$G$2,'(검증1)이상치 검정'!$H$11, "Error"))))</f>
        <v>50.087730413587778</v>
      </c>
      <c r="I58" s="16">
        <f>IF($B$2=$D$2,'(검증1)이상치 검정'!$I$8, IF($B$2=$E$2,'(검증1)이상치 검정'!$I$9, IF($B$2=$F$2,'(검증1)이상치 검정'!$I$10, IF($B$2=$G$2,'(검증1)이상치 검정'!$I$11, "Error"))))</f>
        <v>49.337269586412233</v>
      </c>
    </row>
    <row r="59" spans="1:9">
      <c r="A59" s="61">
        <f>IF($B$2=$D$2,'01 정보1'!B9,IF($B$2=$E$2,'01 정보1'!B95,IF($B$2=$F$2,'01 정보1'!B181,IF($B$2=$G$2,'01 정보1'!B267,"Error"))))</f>
        <v>8</v>
      </c>
      <c r="B59" s="62">
        <f>IF($B$2=$D$2,'01 정보1'!D9,IF($B$2=$E$2,'01 정보1'!D95,IF($B$2=$F$2,'01 정보1'!D181,IF($B$2=$G$2,'01 정보1'!D267,"Error"))))</f>
        <v>48.6</v>
      </c>
      <c r="C59" s="16">
        <f>IF($B$2=$D$2, '(검증1)이상치 검정'!$H$3, IF($B$2=$E$2, '(검증1)이상치 검정'!$H$4, IF($B$2=$F$2, '(검증1)이상치 검정'!$H$5, IF($B$2=$G$2, '(검증1)이상치 검정'!$H$6, "Error"))))</f>
        <v>50.471234172221415</v>
      </c>
      <c r="D59" s="16">
        <f>IF($B$2=$D$2, '(검증1)이상치 검정'!$I$3, IF($B$2=$E$2, '(검증1)이상치 검정'!$I$4, IF($B$2=$F$2, '(검증1)이상치 검정'!$I$5, IF($B$2=$G$2, '(검증1)이상치 검정'!$I$6, "Error"))))</f>
        <v>48.182254199871664</v>
      </c>
      <c r="F59" s="61">
        <f>IF($B$2=$D$2,'02 정보2'!B9,IF($B$2=$E$2,'02 정보2'!B73,IF($B$2=$F$2,'02 정보2'!B137,IF($B$2=$G$2,'02 정보2'!B201,"Error"))))</f>
        <v>8</v>
      </c>
      <c r="G59" s="62">
        <f>IF($B$2=$D$2,'02 정보2'!D9,IF($B$2=$E$2,'02 정보2'!D73,IF($B$2=$F$2,'02 정보2'!D137,IF($B$2=$G$2,'02 정보2'!D201,"Error"))))</f>
        <v>49.8</v>
      </c>
      <c r="H59" s="16">
        <f>IF($B$2=$D$2,'(검증1)이상치 검정'!$H$8, IF($B$2=$E$2,'(검증1)이상치 검정'!$H$9, IF($B$2=$F$2,'(검증1)이상치 검정'!$H$10, IF($B$2=$G$2,'(검증1)이상치 검정'!$H$11, "Error"))))</f>
        <v>50.087730413587778</v>
      </c>
      <c r="I59" s="16">
        <f>IF($B$2=$D$2,'(검증1)이상치 검정'!$I$8, IF($B$2=$E$2,'(검증1)이상치 검정'!$I$9, IF($B$2=$F$2,'(검증1)이상치 검정'!$I$10, IF($B$2=$G$2,'(검증1)이상치 검정'!$I$11, "Error"))))</f>
        <v>49.337269586412233</v>
      </c>
    </row>
    <row r="60" spans="1:9">
      <c r="A60" s="61">
        <f>IF($B$2=$D$2,'01 정보1'!B10,IF($B$2=$E$2,'01 정보1'!B96,IF($B$2=$F$2,'01 정보1'!B182,IF($B$2=$G$2,'01 정보1'!B268,"Error"))))</f>
        <v>9</v>
      </c>
      <c r="B60" s="62">
        <f>IF($B$2=$D$2,'01 정보1'!D10,IF($B$2=$E$2,'01 정보1'!D96,IF($B$2=$F$2,'01 정보1'!D182,IF($B$2=$G$2,'01 정보1'!D268,"Error"))))</f>
        <v>48.6</v>
      </c>
      <c r="C60" s="16">
        <f>IF($B$2=$D$2, '(검증1)이상치 검정'!$H$3, IF($B$2=$E$2, '(검증1)이상치 검정'!$H$4, IF($B$2=$F$2, '(검증1)이상치 검정'!$H$5, IF($B$2=$G$2, '(검증1)이상치 검정'!$H$6, "Error"))))</f>
        <v>50.471234172221415</v>
      </c>
      <c r="D60" s="16">
        <f>IF($B$2=$D$2, '(검증1)이상치 검정'!$I$3, IF($B$2=$E$2, '(검증1)이상치 검정'!$I$4, IF($B$2=$F$2, '(검증1)이상치 검정'!$I$5, IF($B$2=$G$2, '(검증1)이상치 검정'!$I$6, "Error"))))</f>
        <v>48.182254199871664</v>
      </c>
      <c r="F60" s="61">
        <f>IF($B$2=$D$2,'02 정보2'!B10,IF($B$2=$E$2,'02 정보2'!B74,IF($B$2=$F$2,'02 정보2'!B138,IF($B$2=$G$2,'02 정보2'!B202,"Error"))))</f>
        <v>9</v>
      </c>
      <c r="G60" s="62">
        <f>IF($B$2=$D$2,'02 정보2'!D10,IF($B$2=$E$2,'02 정보2'!D74,IF($B$2=$F$2,'02 정보2'!D138,IF($B$2=$G$2,'02 정보2'!D202,"Error"))))</f>
        <v>49.7</v>
      </c>
      <c r="H60" s="16">
        <f>IF($B$2=$D$2,'(검증1)이상치 검정'!$H$8, IF($B$2=$E$2,'(검증1)이상치 검정'!$H$9, IF($B$2=$F$2,'(검증1)이상치 검정'!$H$10, IF($B$2=$G$2,'(검증1)이상치 검정'!$H$11, "Error"))))</f>
        <v>50.087730413587778</v>
      </c>
      <c r="I60" s="16">
        <f>IF($B$2=$D$2,'(검증1)이상치 검정'!$I$8, IF($B$2=$E$2,'(검증1)이상치 검정'!$I$9, IF($B$2=$F$2,'(검증1)이상치 검정'!$I$10, IF($B$2=$G$2,'(검증1)이상치 검정'!$I$11, "Error"))))</f>
        <v>49.337269586412233</v>
      </c>
    </row>
    <row r="61" spans="1:9">
      <c r="A61" s="61">
        <f>IF($B$2=$D$2,'01 정보1'!B11,IF($B$2=$E$2,'01 정보1'!B97,IF($B$2=$F$2,'01 정보1'!B183,IF($B$2=$G$2,'01 정보1'!B269,"Error"))))</f>
        <v>10</v>
      </c>
      <c r="B61" s="62">
        <f>IF($B$2=$D$2,'01 정보1'!D11,IF($B$2=$E$2,'01 정보1'!D97,IF($B$2=$F$2,'01 정보1'!D183,IF($B$2=$G$2,'01 정보1'!D269,"Error"))))</f>
        <v>49</v>
      </c>
      <c r="C61" s="16">
        <f>IF($B$2=$D$2, '(검증1)이상치 검정'!$H$3, IF($B$2=$E$2, '(검증1)이상치 검정'!$H$4, IF($B$2=$F$2, '(검증1)이상치 검정'!$H$5, IF($B$2=$G$2, '(검증1)이상치 검정'!$H$6, "Error"))))</f>
        <v>50.471234172221415</v>
      </c>
      <c r="D61" s="16">
        <f>IF($B$2=$D$2, '(검증1)이상치 검정'!$I$3, IF($B$2=$E$2, '(검증1)이상치 검정'!$I$4, IF($B$2=$F$2, '(검증1)이상치 검정'!$I$5, IF($B$2=$G$2, '(검증1)이상치 검정'!$I$6, "Error"))))</f>
        <v>48.182254199871664</v>
      </c>
      <c r="F61" s="61">
        <f>IF($B$2=$D$2,'02 정보2'!B11,IF($B$2=$E$2,'02 정보2'!B75,IF($B$2=$F$2,'02 정보2'!B139,IF($B$2=$G$2,'02 정보2'!B203,"Error"))))</f>
        <v>10</v>
      </c>
      <c r="G61" s="62">
        <f>IF($B$2=$D$2,'02 정보2'!D11,IF($B$2=$E$2,'02 정보2'!D75,IF($B$2=$F$2,'02 정보2'!D139,IF($B$2=$G$2,'02 정보2'!D203,"Error"))))</f>
        <v>49.3</v>
      </c>
      <c r="H61" s="16">
        <f>IF($B$2=$D$2,'(검증1)이상치 검정'!$H$8, IF($B$2=$E$2,'(검증1)이상치 검정'!$H$9, IF($B$2=$F$2,'(검증1)이상치 검정'!$H$10, IF($B$2=$G$2,'(검증1)이상치 검정'!$H$11, "Error"))))</f>
        <v>50.087730413587778</v>
      </c>
      <c r="I61" s="16">
        <f>IF($B$2=$D$2,'(검증1)이상치 검정'!$I$8, IF($B$2=$E$2,'(검증1)이상치 검정'!$I$9, IF($B$2=$F$2,'(검증1)이상치 검정'!$I$10, IF($B$2=$G$2,'(검증1)이상치 검정'!$I$11, "Error"))))</f>
        <v>49.337269586412233</v>
      </c>
    </row>
    <row r="62" spans="1:9">
      <c r="A62" s="61">
        <f>IF($B$2=$D$2,'01 정보1'!B12,IF($B$2=$E$2,'01 정보1'!B98,IF($B$2=$F$2,'01 정보1'!B184,IF($B$2=$G$2,'01 정보1'!B270,"Error"))))</f>
        <v>11</v>
      </c>
      <c r="B62" s="62">
        <f>IF($B$2=$D$2,'01 정보1'!D12,IF($B$2=$E$2,'01 정보1'!D98,IF($B$2=$F$2,'01 정보1'!D184,IF($B$2=$G$2,'01 정보1'!D270,"Error"))))</f>
        <v>49</v>
      </c>
      <c r="C62" s="16">
        <f>IF($B$2=$D$2, '(검증1)이상치 검정'!$H$3, IF($B$2=$E$2, '(검증1)이상치 검정'!$H$4, IF($B$2=$F$2, '(검증1)이상치 검정'!$H$5, IF($B$2=$G$2, '(검증1)이상치 검정'!$H$6, "Error"))))</f>
        <v>50.471234172221415</v>
      </c>
      <c r="D62" s="16">
        <f>IF($B$2=$D$2, '(검증1)이상치 검정'!$I$3, IF($B$2=$E$2, '(검증1)이상치 검정'!$I$4, IF($B$2=$F$2, '(검증1)이상치 검정'!$I$5, IF($B$2=$G$2, '(검증1)이상치 검정'!$I$6, "Error"))))</f>
        <v>48.182254199871664</v>
      </c>
      <c r="F62" s="61">
        <f>IF($B$2=$D$2,'02 정보2'!B12,IF($B$2=$E$2,'02 정보2'!B76,IF($B$2=$F$2,'02 정보2'!B140,IF($B$2=$G$2,'02 정보2'!B204,"Error"))))</f>
        <v>11</v>
      </c>
      <c r="G62" s="62">
        <f>IF($B$2=$D$2,'02 정보2'!D12,IF($B$2=$E$2,'02 정보2'!D76,IF($B$2=$F$2,'02 정보2'!D140,IF($B$2=$G$2,'02 정보2'!D204,"Error"))))</f>
        <v>49.5</v>
      </c>
      <c r="H62" s="16">
        <f>IF($B$2=$D$2,'(검증1)이상치 검정'!$H$8, IF($B$2=$E$2,'(검증1)이상치 검정'!$H$9, IF($B$2=$F$2,'(검증1)이상치 검정'!$H$10, IF($B$2=$G$2,'(검증1)이상치 검정'!$H$11, "Error"))))</f>
        <v>50.087730413587778</v>
      </c>
      <c r="I62" s="16">
        <f>IF($B$2=$D$2,'(검증1)이상치 검정'!$I$8, IF($B$2=$E$2,'(검증1)이상치 검정'!$I$9, IF($B$2=$F$2,'(검증1)이상치 검정'!$I$10, IF($B$2=$G$2,'(검증1)이상치 검정'!$I$11, "Error"))))</f>
        <v>49.337269586412233</v>
      </c>
    </row>
    <row r="63" spans="1:9">
      <c r="A63" s="61">
        <f>IF($B$2=$D$2,'01 정보1'!B13,IF($B$2=$E$2,'01 정보1'!B99,IF($B$2=$F$2,'01 정보1'!B185,IF($B$2=$G$2,'01 정보1'!B271,"Error"))))</f>
        <v>12</v>
      </c>
      <c r="B63" s="62">
        <f>IF($B$2=$D$2,'01 정보1'!D13,IF($B$2=$E$2,'01 정보1'!D99,IF($B$2=$F$2,'01 정보1'!D185,IF($B$2=$G$2,'01 정보1'!D271,"Error"))))</f>
        <v>48.8</v>
      </c>
      <c r="C63" s="16">
        <f>IF($B$2=$D$2, '(검증1)이상치 검정'!$H$3, IF($B$2=$E$2, '(검증1)이상치 검정'!$H$4, IF($B$2=$F$2, '(검증1)이상치 검정'!$H$5, IF($B$2=$G$2, '(검증1)이상치 검정'!$H$6, "Error"))))</f>
        <v>50.471234172221415</v>
      </c>
      <c r="D63" s="16">
        <f>IF($B$2=$D$2, '(검증1)이상치 검정'!$I$3, IF($B$2=$E$2, '(검증1)이상치 검정'!$I$4, IF($B$2=$F$2, '(검증1)이상치 검정'!$I$5, IF($B$2=$G$2, '(검증1)이상치 검정'!$I$6, "Error"))))</f>
        <v>48.182254199871664</v>
      </c>
      <c r="F63" s="61">
        <f>IF($B$2=$D$2,'02 정보2'!B13,IF($B$2=$E$2,'02 정보2'!B77,IF($B$2=$F$2,'02 정보2'!B141,IF($B$2=$G$2,'02 정보2'!B205,"Error"))))</f>
        <v>12</v>
      </c>
      <c r="G63" s="62">
        <f>IF($B$2=$D$2,'02 정보2'!D13,IF($B$2=$E$2,'02 정보2'!D77,IF($B$2=$F$2,'02 정보2'!D141,IF($B$2=$G$2,'02 정보2'!D205,"Error"))))</f>
        <v>49.4</v>
      </c>
      <c r="H63" s="16">
        <f>IF($B$2=$D$2,'(검증1)이상치 검정'!$H$8, IF($B$2=$E$2,'(검증1)이상치 검정'!$H$9, IF($B$2=$F$2,'(검증1)이상치 검정'!$H$10, IF($B$2=$G$2,'(검증1)이상치 검정'!$H$11, "Error"))))</f>
        <v>50.087730413587778</v>
      </c>
      <c r="I63" s="16">
        <f>IF($B$2=$D$2,'(검증1)이상치 검정'!$I$8, IF($B$2=$E$2,'(검증1)이상치 검정'!$I$9, IF($B$2=$F$2,'(검증1)이상치 검정'!$I$10, IF($B$2=$G$2,'(검증1)이상치 검정'!$I$11, "Error"))))</f>
        <v>49.337269586412233</v>
      </c>
    </row>
    <row r="64" spans="1:9">
      <c r="A64" s="61">
        <f>IF($B$2=$D$2,'01 정보1'!B14,IF($B$2=$E$2,'01 정보1'!B100,IF($B$2=$F$2,'01 정보1'!B186,IF($B$2=$G$2,'01 정보1'!B272,"Error"))))</f>
        <v>13</v>
      </c>
      <c r="B64" s="62">
        <f>IF($B$2=$D$2,'01 정보1'!D14,IF($B$2=$E$2,'01 정보1'!D100,IF($B$2=$F$2,'01 정보1'!D186,IF($B$2=$G$2,'01 정보1'!D272,"Error"))))</f>
        <v>48.8</v>
      </c>
      <c r="C64" s="16">
        <f>IF($B$2=$D$2, '(검증1)이상치 검정'!$H$3, IF($B$2=$E$2, '(검증1)이상치 검정'!$H$4, IF($B$2=$F$2, '(검증1)이상치 검정'!$H$5, IF($B$2=$G$2, '(검증1)이상치 검정'!$H$6, "Error"))))</f>
        <v>50.471234172221415</v>
      </c>
      <c r="D64" s="16">
        <f>IF($B$2=$D$2, '(검증1)이상치 검정'!$I$3, IF($B$2=$E$2, '(검증1)이상치 검정'!$I$4, IF($B$2=$F$2, '(검증1)이상치 검정'!$I$5, IF($B$2=$G$2, '(검증1)이상치 검정'!$I$6, "Error"))))</f>
        <v>48.182254199871664</v>
      </c>
      <c r="F64" s="61">
        <f>IF($B$2=$D$2,'02 정보2'!B14,IF($B$2=$E$2,'02 정보2'!B78,IF($B$2=$F$2,'02 정보2'!B142,IF($B$2=$G$2,'02 정보2'!B206,"Error"))))</f>
        <v>13</v>
      </c>
      <c r="G64" s="62">
        <f>IF($B$2=$D$2,'02 정보2'!D14,IF($B$2=$E$2,'02 정보2'!D78,IF($B$2=$F$2,'02 정보2'!D142,IF($B$2=$G$2,'02 정보2'!D206,"Error"))))</f>
        <v>49.5</v>
      </c>
      <c r="H64" s="16">
        <f>IF($B$2=$D$2,'(검증1)이상치 검정'!$H$8, IF($B$2=$E$2,'(검증1)이상치 검정'!$H$9, IF($B$2=$F$2,'(검증1)이상치 검정'!$H$10, IF($B$2=$G$2,'(검증1)이상치 검정'!$H$11, "Error"))))</f>
        <v>50.087730413587778</v>
      </c>
      <c r="I64" s="16">
        <f>IF($B$2=$D$2,'(검증1)이상치 검정'!$I$8, IF($B$2=$E$2,'(검증1)이상치 검정'!$I$9, IF($B$2=$F$2,'(검증1)이상치 검정'!$I$10, IF($B$2=$G$2,'(검증1)이상치 검정'!$I$11, "Error"))))</f>
        <v>49.337269586412233</v>
      </c>
    </row>
    <row r="65" spans="1:9">
      <c r="A65" s="61">
        <f>IF($B$2=$D$2,'01 정보1'!B15,IF($B$2=$E$2,'01 정보1'!B101,IF($B$2=$F$2,'01 정보1'!B187,IF($B$2=$G$2,'01 정보1'!B273,"Error"))))</f>
        <v>14</v>
      </c>
      <c r="B65" s="62">
        <f>IF($B$2=$D$2,'01 정보1'!D15,IF($B$2=$E$2,'01 정보1'!D101,IF($B$2=$F$2,'01 정보1'!D187,IF($B$2=$G$2,'01 정보1'!D273,"Error"))))</f>
        <v>48.7</v>
      </c>
      <c r="C65" s="16">
        <f>IF($B$2=$D$2, '(검증1)이상치 검정'!$H$3, IF($B$2=$E$2, '(검증1)이상치 검정'!$H$4, IF($B$2=$F$2, '(검증1)이상치 검정'!$H$5, IF($B$2=$G$2, '(검증1)이상치 검정'!$H$6, "Error"))))</f>
        <v>50.471234172221415</v>
      </c>
      <c r="D65" s="16">
        <f>IF($B$2=$D$2, '(검증1)이상치 검정'!$I$3, IF($B$2=$E$2, '(검증1)이상치 검정'!$I$4, IF($B$2=$F$2, '(검증1)이상치 검정'!$I$5, IF($B$2=$G$2, '(검증1)이상치 검정'!$I$6, "Error"))))</f>
        <v>48.182254199871664</v>
      </c>
      <c r="F65" s="61">
        <f>IF($B$2=$D$2,'02 정보2'!B15,IF($B$2=$E$2,'02 정보2'!B79,IF($B$2=$F$2,'02 정보2'!B143,IF($B$2=$G$2,'02 정보2'!B207,"Error"))))</f>
        <v>14</v>
      </c>
      <c r="G65" s="62">
        <f>IF($B$2=$D$2,'02 정보2'!D15,IF($B$2=$E$2,'02 정보2'!D79,IF($B$2=$F$2,'02 정보2'!D143,IF($B$2=$G$2,'02 정보2'!D207,"Error"))))</f>
        <v>49.4</v>
      </c>
      <c r="H65" s="16">
        <f>IF($B$2=$D$2,'(검증1)이상치 검정'!$H$8, IF($B$2=$E$2,'(검증1)이상치 검정'!$H$9, IF($B$2=$F$2,'(검증1)이상치 검정'!$H$10, IF($B$2=$G$2,'(검증1)이상치 검정'!$H$11, "Error"))))</f>
        <v>50.087730413587778</v>
      </c>
      <c r="I65" s="16">
        <f>IF($B$2=$D$2,'(검증1)이상치 검정'!$I$8, IF($B$2=$E$2,'(검증1)이상치 검정'!$I$9, IF($B$2=$F$2,'(검증1)이상치 검정'!$I$10, IF($B$2=$G$2,'(검증1)이상치 검정'!$I$11, "Error"))))</f>
        <v>49.337269586412233</v>
      </c>
    </row>
    <row r="66" spans="1:9">
      <c r="A66" s="61">
        <f>IF($B$2=$D$2,'01 정보1'!B16,IF($B$2=$E$2,'01 정보1'!B102,IF($B$2=$F$2,'01 정보1'!B188,IF($B$2=$G$2,'01 정보1'!B274,"Error"))))</f>
        <v>15</v>
      </c>
      <c r="B66" s="62">
        <f>IF($B$2=$D$2,'01 정보1'!D16,IF($B$2=$E$2,'01 정보1'!D102,IF($B$2=$F$2,'01 정보1'!D188,IF($B$2=$G$2,'01 정보1'!D274,"Error"))))</f>
        <v>48.8</v>
      </c>
      <c r="C66" s="16">
        <f>IF($B$2=$D$2, '(검증1)이상치 검정'!$H$3, IF($B$2=$E$2, '(검증1)이상치 검정'!$H$4, IF($B$2=$F$2, '(검증1)이상치 검정'!$H$5, IF($B$2=$G$2, '(검증1)이상치 검정'!$H$6, "Error"))))</f>
        <v>50.471234172221415</v>
      </c>
      <c r="D66" s="16">
        <f>IF($B$2=$D$2, '(검증1)이상치 검정'!$I$3, IF($B$2=$E$2, '(검증1)이상치 검정'!$I$4, IF($B$2=$F$2, '(검증1)이상치 검정'!$I$5, IF($B$2=$G$2, '(검증1)이상치 검정'!$I$6, "Error"))))</f>
        <v>48.182254199871664</v>
      </c>
      <c r="F66" s="61">
        <f>IF($B$2=$D$2,'02 정보2'!B16,IF($B$2=$E$2,'02 정보2'!B80,IF($B$2=$F$2,'02 정보2'!B144,IF($B$2=$G$2,'02 정보2'!B208,"Error"))))</f>
        <v>15</v>
      </c>
      <c r="G66" s="62">
        <f>IF($B$2=$D$2,'02 정보2'!D16,IF($B$2=$E$2,'02 정보2'!D80,IF($B$2=$F$2,'02 정보2'!D144,IF($B$2=$G$2,'02 정보2'!D208,"Error"))))</f>
        <v>49.6</v>
      </c>
      <c r="H66" s="16">
        <f>IF($B$2=$D$2,'(검증1)이상치 검정'!$H$8, IF($B$2=$E$2,'(검증1)이상치 검정'!$H$9, IF($B$2=$F$2,'(검증1)이상치 검정'!$H$10, IF($B$2=$G$2,'(검증1)이상치 검정'!$H$11, "Error"))))</f>
        <v>50.087730413587778</v>
      </c>
      <c r="I66" s="16">
        <f>IF($B$2=$D$2,'(검증1)이상치 검정'!$I$8, IF($B$2=$E$2,'(검증1)이상치 검정'!$I$9, IF($B$2=$F$2,'(검증1)이상치 검정'!$I$10, IF($B$2=$G$2,'(검증1)이상치 검정'!$I$11, "Error"))))</f>
        <v>49.337269586412233</v>
      </c>
    </row>
    <row r="67" spans="1:9">
      <c r="A67" s="61">
        <f>IF($B$2=$D$2,'01 정보1'!B17,IF($B$2=$E$2,'01 정보1'!B103,IF($B$2=$F$2,'01 정보1'!B189,IF($B$2=$G$2,'01 정보1'!B275,"Error"))))</f>
        <v>16</v>
      </c>
      <c r="B67" s="62">
        <f>IF($B$2=$D$2,'01 정보1'!D17,IF($B$2=$E$2,'01 정보1'!D103,IF($B$2=$F$2,'01 정보1'!D189,IF($B$2=$G$2,'01 정보1'!D275,"Error"))))</f>
        <v>48.6</v>
      </c>
      <c r="C67" s="16">
        <f>IF($B$2=$D$2, '(검증1)이상치 검정'!$H$3, IF($B$2=$E$2, '(검증1)이상치 검정'!$H$4, IF($B$2=$F$2, '(검증1)이상치 검정'!$H$5, IF($B$2=$G$2, '(검증1)이상치 검정'!$H$6, "Error"))))</f>
        <v>50.471234172221415</v>
      </c>
      <c r="D67" s="16">
        <f>IF($B$2=$D$2, '(검증1)이상치 검정'!$I$3, IF($B$2=$E$2, '(검증1)이상치 검정'!$I$4, IF($B$2=$F$2, '(검증1)이상치 검정'!$I$5, IF($B$2=$G$2, '(검증1)이상치 검정'!$I$6, "Error"))))</f>
        <v>48.182254199871664</v>
      </c>
      <c r="F67" s="61">
        <f>IF($B$2=$D$2,'02 정보2'!B17,IF($B$2=$E$2,'02 정보2'!B81,IF($B$2=$F$2,'02 정보2'!B145,IF($B$2=$G$2,'02 정보2'!B209,"Error"))))</f>
        <v>16</v>
      </c>
      <c r="G67" s="62">
        <f>IF($B$2=$D$2,'02 정보2'!D17,IF($B$2=$E$2,'02 정보2'!D81,IF($B$2=$F$2,'02 정보2'!D145,IF($B$2=$G$2,'02 정보2'!D209,"Error"))))</f>
        <v>49.4</v>
      </c>
      <c r="H67" s="16">
        <f>IF($B$2=$D$2,'(검증1)이상치 검정'!$H$8, IF($B$2=$E$2,'(검증1)이상치 검정'!$H$9, IF($B$2=$F$2,'(검증1)이상치 검정'!$H$10, IF($B$2=$G$2,'(검증1)이상치 검정'!$H$11, "Error"))))</f>
        <v>50.087730413587778</v>
      </c>
      <c r="I67" s="16">
        <f>IF($B$2=$D$2,'(검증1)이상치 검정'!$I$8, IF($B$2=$E$2,'(검증1)이상치 검정'!$I$9, IF($B$2=$F$2,'(검증1)이상치 검정'!$I$10, IF($B$2=$G$2,'(검증1)이상치 검정'!$I$11, "Error"))))</f>
        <v>49.337269586412233</v>
      </c>
    </row>
    <row r="68" spans="1:9">
      <c r="A68" s="61">
        <f>IF($B$2=$D$2,'01 정보1'!B18,IF($B$2=$E$2,'01 정보1'!B104,IF($B$2=$F$2,'01 정보1'!B190,IF($B$2=$G$2,'01 정보1'!B276,"Error"))))</f>
        <v>17</v>
      </c>
      <c r="B68" s="62">
        <f>IF($B$2=$D$2,'01 정보1'!D18,IF($B$2=$E$2,'01 정보1'!D104,IF($B$2=$F$2,'01 정보1'!D190,IF($B$2=$G$2,'01 정보1'!D276,"Error"))))</f>
        <v>48.4</v>
      </c>
      <c r="C68" s="16">
        <f>IF($B$2=$D$2, '(검증1)이상치 검정'!$H$3, IF($B$2=$E$2, '(검증1)이상치 검정'!$H$4, IF($B$2=$F$2, '(검증1)이상치 검정'!$H$5, IF($B$2=$G$2, '(검증1)이상치 검정'!$H$6, "Error"))))</f>
        <v>50.471234172221415</v>
      </c>
      <c r="D68" s="16">
        <f>IF($B$2=$D$2, '(검증1)이상치 검정'!$I$3, IF($B$2=$E$2, '(검증1)이상치 검정'!$I$4, IF($B$2=$F$2, '(검증1)이상치 검정'!$I$5, IF($B$2=$G$2, '(검증1)이상치 검정'!$I$6, "Error"))))</f>
        <v>48.182254199871664</v>
      </c>
      <c r="F68" s="61">
        <f>IF($B$2=$D$2,'02 정보2'!B18,IF($B$2=$E$2,'02 정보2'!B82,IF($B$2=$F$2,'02 정보2'!B146,IF($B$2=$G$2,'02 정보2'!B210,"Error"))))</f>
        <v>17</v>
      </c>
      <c r="G68" s="62">
        <f>IF($B$2=$D$2,'02 정보2'!D18,IF($B$2=$E$2,'02 정보2'!D82,IF($B$2=$F$2,'02 정보2'!D146,IF($B$2=$G$2,'02 정보2'!D210,"Error"))))</f>
        <v>49.6</v>
      </c>
      <c r="H68" s="16">
        <f>IF($B$2=$D$2,'(검증1)이상치 검정'!$H$8, IF($B$2=$E$2,'(검증1)이상치 검정'!$H$9, IF($B$2=$F$2,'(검증1)이상치 검정'!$H$10, IF($B$2=$G$2,'(검증1)이상치 검정'!$H$11, "Error"))))</f>
        <v>50.087730413587778</v>
      </c>
      <c r="I68" s="16">
        <f>IF($B$2=$D$2,'(검증1)이상치 검정'!$I$8, IF($B$2=$E$2,'(검증1)이상치 검정'!$I$9, IF($B$2=$F$2,'(검증1)이상치 검정'!$I$10, IF($B$2=$G$2,'(검증1)이상치 검정'!$I$11, "Error"))))</f>
        <v>49.337269586412233</v>
      </c>
    </row>
    <row r="69" spans="1:9">
      <c r="A69" s="61">
        <f>IF($B$2=$D$2,'01 정보1'!B19,IF($B$2=$E$2,'01 정보1'!B105,IF($B$2=$F$2,'01 정보1'!B191,IF($B$2=$G$2,'01 정보1'!B277,"Error"))))</f>
        <v>18</v>
      </c>
      <c r="B69" s="62">
        <f>IF($B$2=$D$2,'01 정보1'!D19,IF($B$2=$E$2,'01 정보1'!D105,IF($B$2=$F$2,'01 정보1'!D191,IF($B$2=$G$2,'01 정보1'!D277,"Error"))))</f>
        <v>48.7</v>
      </c>
      <c r="C69" s="16">
        <f>IF($B$2=$D$2, '(검증1)이상치 검정'!$H$3, IF($B$2=$E$2, '(검증1)이상치 검정'!$H$4, IF($B$2=$F$2, '(검증1)이상치 검정'!$H$5, IF($B$2=$G$2, '(검증1)이상치 검정'!$H$6, "Error"))))</f>
        <v>50.471234172221415</v>
      </c>
      <c r="D69" s="16">
        <f>IF($B$2=$D$2, '(검증1)이상치 검정'!$I$3, IF($B$2=$E$2, '(검증1)이상치 검정'!$I$4, IF($B$2=$F$2, '(검증1)이상치 검정'!$I$5, IF($B$2=$G$2, '(검증1)이상치 검정'!$I$6, "Error"))))</f>
        <v>48.182254199871664</v>
      </c>
      <c r="F69" s="61">
        <f>IF($B$2=$D$2,'02 정보2'!B19,IF($B$2=$E$2,'02 정보2'!B83,IF($B$2=$F$2,'02 정보2'!B147,IF($B$2=$G$2,'02 정보2'!B211,"Error"))))</f>
        <v>18</v>
      </c>
      <c r="G69" s="62">
        <f>IF($B$2=$D$2,'02 정보2'!D19,IF($B$2=$E$2,'02 정보2'!D83,IF($B$2=$F$2,'02 정보2'!D147,IF($B$2=$G$2,'02 정보2'!D211,"Error"))))</f>
        <v>49.4</v>
      </c>
      <c r="H69" s="16">
        <f>IF($B$2=$D$2,'(검증1)이상치 검정'!$H$8, IF($B$2=$E$2,'(검증1)이상치 검정'!$H$9, IF($B$2=$F$2,'(검증1)이상치 검정'!$H$10, IF($B$2=$G$2,'(검증1)이상치 검정'!$H$11, "Error"))))</f>
        <v>50.087730413587778</v>
      </c>
      <c r="I69" s="16">
        <f>IF($B$2=$D$2,'(검증1)이상치 검정'!$I$8, IF($B$2=$E$2,'(검증1)이상치 검정'!$I$9, IF($B$2=$F$2,'(검증1)이상치 검정'!$I$10, IF($B$2=$G$2,'(검증1)이상치 검정'!$I$11, "Error"))))</f>
        <v>49.337269586412233</v>
      </c>
    </row>
    <row r="70" spans="1:9">
      <c r="A70" s="61">
        <f>IF($B$2=$D$2,'01 정보1'!B20,IF($B$2=$E$2,'01 정보1'!B106,IF($B$2=$F$2,'01 정보1'!B192,IF($B$2=$G$2,'01 정보1'!B278,"Error"))))</f>
        <v>19</v>
      </c>
      <c r="B70" s="62">
        <f>IF($B$2=$D$2,'01 정보1'!D20,IF($B$2=$E$2,'01 정보1'!D106,IF($B$2=$F$2,'01 정보1'!D192,IF($B$2=$G$2,'01 정보1'!D278,"Error"))))</f>
        <v>48.7</v>
      </c>
      <c r="C70" s="16">
        <f>IF($B$2=$D$2, '(검증1)이상치 검정'!$H$3, IF($B$2=$E$2, '(검증1)이상치 검정'!$H$4, IF($B$2=$F$2, '(검증1)이상치 검정'!$H$5, IF($B$2=$G$2, '(검증1)이상치 검정'!$H$6, "Error"))))</f>
        <v>50.471234172221415</v>
      </c>
      <c r="D70" s="16">
        <f>IF($B$2=$D$2, '(검증1)이상치 검정'!$I$3, IF($B$2=$E$2, '(검증1)이상치 검정'!$I$4, IF($B$2=$F$2, '(검증1)이상치 검정'!$I$5, IF($B$2=$G$2, '(검증1)이상치 검정'!$I$6, "Error"))))</f>
        <v>48.182254199871664</v>
      </c>
      <c r="F70" s="61">
        <f>IF($B$2=$D$2,'02 정보2'!B20,IF($B$2=$E$2,'02 정보2'!B84,IF($B$2=$F$2,'02 정보2'!B148,IF($B$2=$G$2,'02 정보2'!B212,"Error"))))</f>
        <v>19</v>
      </c>
      <c r="G70" s="62">
        <f>IF($B$2=$D$2,'02 정보2'!D20,IF($B$2=$E$2,'02 정보2'!D84,IF($B$2=$F$2,'02 정보2'!D148,IF($B$2=$G$2,'02 정보2'!D212,"Error"))))</f>
        <v>49.5</v>
      </c>
      <c r="H70" s="16">
        <f>IF($B$2=$D$2,'(검증1)이상치 검정'!$H$8, IF($B$2=$E$2,'(검증1)이상치 검정'!$H$9, IF($B$2=$F$2,'(검증1)이상치 검정'!$H$10, IF($B$2=$G$2,'(검증1)이상치 검정'!$H$11, "Error"))))</f>
        <v>50.087730413587778</v>
      </c>
      <c r="I70" s="16">
        <f>IF($B$2=$D$2,'(검증1)이상치 검정'!$I$8, IF($B$2=$E$2,'(검증1)이상치 검정'!$I$9, IF($B$2=$F$2,'(검증1)이상치 검정'!$I$10, IF($B$2=$G$2,'(검증1)이상치 검정'!$I$11, "Error"))))</f>
        <v>49.337269586412233</v>
      </c>
    </row>
    <row r="71" spans="1:9">
      <c r="A71" s="61">
        <f>IF($B$2=$D$2,'01 정보1'!B21,IF($B$2=$E$2,'01 정보1'!B107,IF($B$2=$F$2,'01 정보1'!B193,IF($B$2=$G$2,'01 정보1'!B279,"Error"))))</f>
        <v>20</v>
      </c>
      <c r="B71" s="62">
        <f>IF($B$2=$D$2,'01 정보1'!D21,IF($B$2=$E$2,'01 정보1'!D107,IF($B$2=$F$2,'01 정보1'!D193,IF($B$2=$G$2,'01 정보1'!D279,"Error"))))</f>
        <v>48.7</v>
      </c>
      <c r="C71" s="16">
        <f>IF($B$2=$D$2, '(검증1)이상치 검정'!$H$3, IF($B$2=$E$2, '(검증1)이상치 검정'!$H$4, IF($B$2=$F$2, '(검증1)이상치 검정'!$H$5, IF($B$2=$G$2, '(검증1)이상치 검정'!$H$6, "Error"))))</f>
        <v>50.471234172221415</v>
      </c>
      <c r="D71" s="16">
        <f>IF($B$2=$D$2, '(검증1)이상치 검정'!$I$3, IF($B$2=$E$2, '(검증1)이상치 검정'!$I$4, IF($B$2=$F$2, '(검증1)이상치 검정'!$I$5, IF($B$2=$G$2, '(검증1)이상치 검정'!$I$6, "Error"))))</f>
        <v>48.182254199871664</v>
      </c>
      <c r="F71" s="61">
        <f>IF($B$2=$D$2,'02 정보2'!B21,IF($B$2=$E$2,'02 정보2'!B85,IF($B$2=$F$2,'02 정보2'!B149,IF($B$2=$G$2,'02 정보2'!B213,"Error"))))</f>
        <v>20</v>
      </c>
      <c r="G71" s="62">
        <f>IF($B$2=$D$2,'02 정보2'!D21,IF($B$2=$E$2,'02 정보2'!D85,IF($B$2=$F$2,'02 정보2'!D149,IF($B$2=$G$2,'02 정보2'!D213,"Error"))))</f>
        <v>49.2</v>
      </c>
      <c r="H71" s="16">
        <f>IF($B$2=$D$2,'(검증1)이상치 검정'!$H$8, IF($B$2=$E$2,'(검증1)이상치 검정'!$H$9, IF($B$2=$F$2,'(검증1)이상치 검정'!$H$10, IF($B$2=$G$2,'(검증1)이상치 검정'!$H$11, "Error"))))</f>
        <v>50.087730413587778</v>
      </c>
      <c r="I71" s="16">
        <f>IF($B$2=$D$2,'(검증1)이상치 검정'!$I$8, IF($B$2=$E$2,'(검증1)이상치 검정'!$I$9, IF($B$2=$F$2,'(검증1)이상치 검정'!$I$10, IF($B$2=$G$2,'(검증1)이상치 검정'!$I$11, "Error"))))</f>
        <v>49.337269586412233</v>
      </c>
    </row>
    <row r="72" spans="1:9">
      <c r="A72" s="61">
        <f>IF($B$2=$D$2,'01 정보1'!B22,IF($B$2=$E$2,'01 정보1'!B108,IF($B$2=$F$2,'01 정보1'!B194,IF($B$2=$G$2,'01 정보1'!B280,"Error"))))</f>
        <v>21</v>
      </c>
      <c r="B72" s="62">
        <f>IF($B$2=$D$2,'01 정보1'!D22,IF($B$2=$E$2,'01 정보1'!D108,IF($B$2=$F$2,'01 정보1'!D194,IF($B$2=$G$2,'01 정보1'!D280,"Error"))))</f>
        <v>48.7</v>
      </c>
      <c r="C72" s="16">
        <f>IF($B$2=$D$2, '(검증1)이상치 검정'!$H$3, IF($B$2=$E$2, '(검증1)이상치 검정'!$H$4, IF($B$2=$F$2, '(검증1)이상치 검정'!$H$5, IF($B$2=$G$2, '(검증1)이상치 검정'!$H$6, "Error"))))</f>
        <v>50.471234172221415</v>
      </c>
      <c r="D72" s="16">
        <f>IF($B$2=$D$2, '(검증1)이상치 검정'!$I$3, IF($B$2=$E$2, '(검증1)이상치 검정'!$I$4, IF($B$2=$F$2, '(검증1)이상치 검정'!$I$5, IF($B$2=$G$2, '(검증1)이상치 검정'!$I$6, "Error"))))</f>
        <v>48.182254199871664</v>
      </c>
      <c r="F72" s="61">
        <f>IF($B$2=$D$2,'02 정보2'!B22,IF($B$2=$E$2,'02 정보2'!B86,IF($B$2=$F$2,'02 정보2'!B150,IF($B$2=$G$2,'02 정보2'!B214,"Error"))))</f>
        <v>21</v>
      </c>
      <c r="G72" s="62">
        <f>IF($B$2=$D$2,'02 정보2'!D22,IF($B$2=$E$2,'02 정보2'!D86,IF($B$2=$F$2,'02 정보2'!D150,IF($B$2=$G$2,'02 정보2'!D214,"Error"))))</f>
        <v>49.7</v>
      </c>
      <c r="H72" s="16">
        <f>IF($B$2=$D$2,'(검증1)이상치 검정'!$H$8, IF($B$2=$E$2,'(검증1)이상치 검정'!$H$9, IF($B$2=$F$2,'(검증1)이상치 검정'!$H$10, IF($B$2=$G$2,'(검증1)이상치 검정'!$H$11, "Error"))))</f>
        <v>50.087730413587778</v>
      </c>
      <c r="I72" s="16">
        <f>IF($B$2=$D$2,'(검증1)이상치 검정'!$I$8, IF($B$2=$E$2,'(검증1)이상치 검정'!$I$9, IF($B$2=$F$2,'(검증1)이상치 검정'!$I$10, IF($B$2=$G$2,'(검증1)이상치 검정'!$I$11, "Error"))))</f>
        <v>49.337269586412233</v>
      </c>
    </row>
    <row r="73" spans="1:9">
      <c r="A73" s="61">
        <f>IF($B$2=$D$2,'01 정보1'!B23,IF($B$2=$E$2,'01 정보1'!B109,IF($B$2=$F$2,'01 정보1'!B195,IF($B$2=$G$2,'01 정보1'!B281,"Error"))))</f>
        <v>22</v>
      </c>
      <c r="B73" s="62">
        <f>IF($B$2=$D$2,'01 정보1'!D23,IF($B$2=$E$2,'01 정보1'!D109,IF($B$2=$F$2,'01 정보1'!D195,IF($B$2=$G$2,'01 정보1'!D281,"Error"))))</f>
        <v>48.6</v>
      </c>
      <c r="C73" s="16">
        <f>IF($B$2=$D$2, '(검증1)이상치 검정'!$H$3, IF($B$2=$E$2, '(검증1)이상치 검정'!$H$4, IF($B$2=$F$2, '(검증1)이상치 검정'!$H$5, IF($B$2=$G$2, '(검증1)이상치 검정'!$H$6, "Error"))))</f>
        <v>50.471234172221415</v>
      </c>
      <c r="D73" s="16">
        <f>IF($B$2=$D$2, '(검증1)이상치 검정'!$I$3, IF($B$2=$E$2, '(검증1)이상치 검정'!$I$4, IF($B$2=$F$2, '(검증1)이상치 검정'!$I$5, IF($B$2=$G$2, '(검증1)이상치 검정'!$I$6, "Error"))))</f>
        <v>48.182254199871664</v>
      </c>
      <c r="F73" s="61">
        <f>IF($B$2=$D$2,'02 정보2'!B23,IF($B$2=$E$2,'02 정보2'!B87,IF($B$2=$F$2,'02 정보2'!B151,IF($B$2=$G$2,'02 정보2'!B215,"Error"))))</f>
        <v>22</v>
      </c>
      <c r="G73" s="62">
        <f>IF($B$2=$D$2,'02 정보2'!D23,IF($B$2=$E$2,'02 정보2'!D87,IF($B$2=$F$2,'02 정보2'!D151,IF($B$2=$G$2,'02 정보2'!D215,"Error"))))</f>
        <v>49.8</v>
      </c>
      <c r="H73" s="16">
        <f>IF($B$2=$D$2,'(검증1)이상치 검정'!$H$8, IF($B$2=$E$2,'(검증1)이상치 검정'!$H$9, IF($B$2=$F$2,'(검증1)이상치 검정'!$H$10, IF($B$2=$G$2,'(검증1)이상치 검정'!$H$11, "Error"))))</f>
        <v>50.087730413587778</v>
      </c>
      <c r="I73" s="16">
        <f>IF($B$2=$D$2,'(검증1)이상치 검정'!$I$8, IF($B$2=$E$2,'(검증1)이상치 검정'!$I$9, IF($B$2=$F$2,'(검증1)이상치 검정'!$I$10, IF($B$2=$G$2,'(검증1)이상치 검정'!$I$11, "Error"))))</f>
        <v>49.337269586412233</v>
      </c>
    </row>
    <row r="74" spans="1:9">
      <c r="A74" s="61">
        <f>IF($B$2=$D$2,'01 정보1'!B24,IF($B$2=$E$2,'01 정보1'!B110,IF($B$2=$F$2,'01 정보1'!B196,IF($B$2=$G$2,'01 정보1'!B282,"Error"))))</f>
        <v>23</v>
      </c>
      <c r="B74" s="62">
        <f>IF($B$2=$D$2,'01 정보1'!D24,IF($B$2=$E$2,'01 정보1'!D110,IF($B$2=$F$2,'01 정보1'!D196,IF($B$2=$G$2,'01 정보1'!D282,"Error"))))</f>
        <v>48.6</v>
      </c>
      <c r="C74" s="16">
        <f>IF($B$2=$D$2, '(검증1)이상치 검정'!$H$3, IF($B$2=$E$2, '(검증1)이상치 검정'!$H$4, IF($B$2=$F$2, '(검증1)이상치 검정'!$H$5, IF($B$2=$G$2, '(검증1)이상치 검정'!$H$6, "Error"))))</f>
        <v>50.471234172221415</v>
      </c>
      <c r="D74" s="16">
        <f>IF($B$2=$D$2, '(검증1)이상치 검정'!$I$3, IF($B$2=$E$2, '(검증1)이상치 검정'!$I$4, IF($B$2=$F$2, '(검증1)이상치 검정'!$I$5, IF($B$2=$G$2, '(검증1)이상치 검정'!$I$6, "Error"))))</f>
        <v>48.182254199871664</v>
      </c>
      <c r="F74" s="61">
        <f>IF($B$2=$D$2,'02 정보2'!B24,IF($B$2=$E$2,'02 정보2'!B88,IF($B$2=$F$2,'02 정보2'!B152,IF($B$2=$G$2,'02 정보2'!B216,"Error"))))</f>
        <v>23</v>
      </c>
      <c r="G74" s="62">
        <f>IF($B$2=$D$2,'02 정보2'!D24,IF($B$2=$E$2,'02 정보2'!D88,IF($B$2=$F$2,'02 정보2'!D152,IF($B$2=$G$2,'02 정보2'!D216,"Error"))))</f>
        <v>49.9</v>
      </c>
      <c r="H74" s="16">
        <f>IF($B$2=$D$2,'(검증1)이상치 검정'!$H$8, IF($B$2=$E$2,'(검증1)이상치 검정'!$H$9, IF($B$2=$F$2,'(검증1)이상치 검정'!$H$10, IF($B$2=$G$2,'(검증1)이상치 검정'!$H$11, "Error"))))</f>
        <v>50.087730413587778</v>
      </c>
      <c r="I74" s="16">
        <f>IF($B$2=$D$2,'(검증1)이상치 검정'!$I$8, IF($B$2=$E$2,'(검증1)이상치 검정'!$I$9, IF($B$2=$F$2,'(검증1)이상치 검정'!$I$10, IF($B$2=$G$2,'(검증1)이상치 검정'!$I$11, "Error"))))</f>
        <v>49.337269586412233</v>
      </c>
    </row>
    <row r="75" spans="1:9">
      <c r="A75" s="61">
        <f>IF($B$2=$D$2,'01 정보1'!B25,IF($B$2=$E$2,'01 정보1'!B111,IF($B$2=$F$2,'01 정보1'!B197,IF($B$2=$G$2,'01 정보1'!B283,"Error"))))</f>
        <v>24</v>
      </c>
      <c r="B75" s="62">
        <f>IF($B$2=$D$2,'01 정보1'!D25,IF($B$2=$E$2,'01 정보1'!D111,IF($B$2=$F$2,'01 정보1'!D197,IF($B$2=$G$2,'01 정보1'!D283,"Error"))))</f>
        <v>48.6</v>
      </c>
      <c r="C75" s="16">
        <f>IF($B$2=$D$2, '(검증1)이상치 검정'!$H$3, IF($B$2=$E$2, '(검증1)이상치 검정'!$H$4, IF($B$2=$F$2, '(검증1)이상치 검정'!$H$5, IF($B$2=$G$2, '(검증1)이상치 검정'!$H$6, "Error"))))</f>
        <v>50.471234172221415</v>
      </c>
      <c r="D75" s="16">
        <f>IF($B$2=$D$2, '(검증1)이상치 검정'!$I$3, IF($B$2=$E$2, '(검증1)이상치 검정'!$I$4, IF($B$2=$F$2, '(검증1)이상치 검정'!$I$5, IF($B$2=$G$2, '(검증1)이상치 검정'!$I$6, "Error"))))</f>
        <v>48.182254199871664</v>
      </c>
      <c r="F75" s="61">
        <f>IF($B$2=$D$2,'02 정보2'!B25,IF($B$2=$E$2,'02 정보2'!B89,IF($B$2=$F$2,'02 정보2'!B153,IF($B$2=$G$2,'02 정보2'!B217,"Error"))))</f>
        <v>24</v>
      </c>
      <c r="G75" s="62">
        <f>IF($B$2=$D$2,'02 정보2'!D25,IF($B$2=$E$2,'02 정보2'!D89,IF($B$2=$F$2,'02 정보2'!D153,IF($B$2=$G$2,'02 정보2'!D217,"Error"))))</f>
        <v>49.9</v>
      </c>
      <c r="H75" s="16">
        <f>IF($B$2=$D$2,'(검증1)이상치 검정'!$H$8, IF($B$2=$E$2,'(검증1)이상치 검정'!$H$9, IF($B$2=$F$2,'(검증1)이상치 검정'!$H$10, IF($B$2=$G$2,'(검증1)이상치 검정'!$H$11, "Error"))))</f>
        <v>50.087730413587778</v>
      </c>
      <c r="I75" s="16">
        <f>IF($B$2=$D$2,'(검증1)이상치 검정'!$I$8, IF($B$2=$E$2,'(검증1)이상치 검정'!$I$9, IF($B$2=$F$2,'(검증1)이상치 검정'!$I$10, IF($B$2=$G$2,'(검증1)이상치 검정'!$I$11, "Error"))))</f>
        <v>49.337269586412233</v>
      </c>
    </row>
    <row r="76" spans="1:9">
      <c r="A76" s="61">
        <f>IF($B$2=$D$2,'01 정보1'!B26,IF($B$2=$E$2,'01 정보1'!B112,IF($B$2=$F$2,'01 정보1'!B198,IF($B$2=$G$2,'01 정보1'!B284,"Error"))))</f>
        <v>25</v>
      </c>
      <c r="B76" s="62">
        <f>IF($B$2=$D$2,'01 정보1'!D26,IF($B$2=$E$2,'01 정보1'!D112,IF($B$2=$F$2,'01 정보1'!D198,IF($B$2=$G$2,'01 정보1'!D284,"Error"))))</f>
        <v>48.6</v>
      </c>
      <c r="C76" s="16">
        <f>IF($B$2=$D$2, '(검증1)이상치 검정'!$H$3, IF($B$2=$E$2, '(검증1)이상치 검정'!$H$4, IF($B$2=$F$2, '(검증1)이상치 검정'!$H$5, IF($B$2=$G$2, '(검증1)이상치 검정'!$H$6, "Error"))))</f>
        <v>50.471234172221415</v>
      </c>
      <c r="D76" s="16">
        <f>IF($B$2=$D$2, '(검증1)이상치 검정'!$I$3, IF($B$2=$E$2, '(검증1)이상치 검정'!$I$4, IF($B$2=$F$2, '(검증1)이상치 검정'!$I$5, IF($B$2=$G$2, '(검증1)이상치 검정'!$I$6, "Error"))))</f>
        <v>48.182254199871664</v>
      </c>
      <c r="F76" s="61">
        <f>IF($B$2=$D$2,'02 정보2'!B26,IF($B$2=$E$2,'02 정보2'!B90,IF($B$2=$F$2,'02 정보2'!B154,IF($B$2=$G$2,'02 정보2'!B218,"Error"))))</f>
        <v>25</v>
      </c>
      <c r="G76" s="62">
        <f>IF($B$2=$D$2,'02 정보2'!D26,IF($B$2=$E$2,'02 정보2'!D90,IF($B$2=$F$2,'02 정보2'!D154,IF($B$2=$G$2,'02 정보2'!D218,"Error"))))</f>
        <v>49.7</v>
      </c>
      <c r="H76" s="16">
        <f>IF($B$2=$D$2,'(검증1)이상치 검정'!$H$8, IF($B$2=$E$2,'(검증1)이상치 검정'!$H$9, IF($B$2=$F$2,'(검증1)이상치 검정'!$H$10, IF($B$2=$G$2,'(검증1)이상치 검정'!$H$11, "Error"))))</f>
        <v>50.087730413587778</v>
      </c>
      <c r="I76" s="16">
        <f>IF($B$2=$D$2,'(검증1)이상치 검정'!$I$8, IF($B$2=$E$2,'(검증1)이상치 검정'!$I$9, IF($B$2=$F$2,'(검증1)이상치 검정'!$I$10, IF($B$2=$G$2,'(검증1)이상치 검정'!$I$11, "Error"))))</f>
        <v>49.337269586412233</v>
      </c>
    </row>
    <row r="77" spans="1:9">
      <c r="A77" s="61">
        <f>IF($B$2=$D$2,'01 정보1'!B27,IF($B$2=$E$2,'01 정보1'!B113,IF($B$2=$F$2,'01 정보1'!B199,IF($B$2=$G$2,'01 정보1'!B285,"Error"))))</f>
        <v>26</v>
      </c>
      <c r="B77" s="62">
        <f>IF($B$2=$D$2,'01 정보1'!D27,IF($B$2=$E$2,'01 정보1'!D113,IF($B$2=$F$2,'01 정보1'!D199,IF($B$2=$G$2,'01 정보1'!D285,"Error"))))</f>
        <v>48.7</v>
      </c>
      <c r="C77" s="16">
        <f>IF($B$2=$D$2, '(검증1)이상치 검정'!$H$3, IF($B$2=$E$2, '(검증1)이상치 검정'!$H$4, IF($B$2=$F$2, '(검증1)이상치 검정'!$H$5, IF($B$2=$G$2, '(검증1)이상치 검정'!$H$6, "Error"))))</f>
        <v>50.471234172221415</v>
      </c>
      <c r="D77" s="16">
        <f>IF($B$2=$D$2, '(검증1)이상치 검정'!$I$3, IF($B$2=$E$2, '(검증1)이상치 검정'!$I$4, IF($B$2=$F$2, '(검증1)이상치 검정'!$I$5, IF($B$2=$G$2, '(검증1)이상치 검정'!$I$6, "Error"))))</f>
        <v>48.182254199871664</v>
      </c>
      <c r="F77" s="61">
        <f>IF($B$2=$D$2,'02 정보2'!B27,IF($B$2=$E$2,'02 정보2'!B91,IF($B$2=$F$2,'02 정보2'!B155,IF($B$2=$G$2,'02 정보2'!B219,"Error"))))</f>
        <v>26</v>
      </c>
      <c r="G77" s="62">
        <f>IF($B$2=$D$2,'02 정보2'!D27,IF($B$2=$E$2,'02 정보2'!D91,IF($B$2=$F$2,'02 정보2'!D155,IF($B$2=$G$2,'02 정보2'!D219,"Error"))))</f>
        <v>49.8</v>
      </c>
      <c r="H77" s="16">
        <f>IF($B$2=$D$2,'(검증1)이상치 검정'!$H$8, IF($B$2=$E$2,'(검증1)이상치 검정'!$H$9, IF($B$2=$F$2,'(검증1)이상치 검정'!$H$10, IF($B$2=$G$2,'(검증1)이상치 검정'!$H$11, "Error"))))</f>
        <v>50.087730413587778</v>
      </c>
      <c r="I77" s="16">
        <f>IF($B$2=$D$2,'(검증1)이상치 검정'!$I$8, IF($B$2=$E$2,'(검증1)이상치 검정'!$I$9, IF($B$2=$F$2,'(검증1)이상치 검정'!$I$10, IF($B$2=$G$2,'(검증1)이상치 검정'!$I$11, "Error"))))</f>
        <v>49.337269586412233</v>
      </c>
    </row>
    <row r="78" spans="1:9">
      <c r="A78" s="61">
        <f>IF($B$2=$D$2,'01 정보1'!B28,IF($B$2=$E$2,'01 정보1'!B114,IF($B$2=$F$2,'01 정보1'!B200,IF($B$2=$G$2,'01 정보1'!B286,"Error"))))</f>
        <v>27</v>
      </c>
      <c r="B78" s="62">
        <f>IF($B$2=$D$2,'01 정보1'!D28,IF($B$2=$E$2,'01 정보1'!D114,IF($B$2=$F$2,'01 정보1'!D200,IF($B$2=$G$2,'01 정보1'!D286,"Error"))))</f>
        <v>48.4</v>
      </c>
      <c r="C78" s="16">
        <f>IF($B$2=$D$2, '(검증1)이상치 검정'!$H$3, IF($B$2=$E$2, '(검증1)이상치 검정'!$H$4, IF($B$2=$F$2, '(검증1)이상치 검정'!$H$5, IF($B$2=$G$2, '(검증1)이상치 검정'!$H$6, "Error"))))</f>
        <v>50.471234172221415</v>
      </c>
      <c r="D78" s="16">
        <f>IF($B$2=$D$2, '(검증1)이상치 검정'!$I$3, IF($B$2=$E$2, '(검증1)이상치 검정'!$I$4, IF($B$2=$F$2, '(검증1)이상치 검정'!$I$5, IF($B$2=$G$2, '(검증1)이상치 검정'!$I$6, "Error"))))</f>
        <v>48.182254199871664</v>
      </c>
      <c r="F78" s="61">
        <f>IF($B$2=$D$2,'02 정보2'!B28,IF($B$2=$E$2,'02 정보2'!B92,IF($B$2=$F$2,'02 정보2'!B156,IF($B$2=$G$2,'02 정보2'!B220,"Error"))))</f>
        <v>27</v>
      </c>
      <c r="G78" s="62">
        <f>IF($B$2=$D$2,'02 정보2'!D28,IF($B$2=$E$2,'02 정보2'!D92,IF($B$2=$F$2,'02 정보2'!D156,IF($B$2=$G$2,'02 정보2'!D220,"Error"))))</f>
        <v>49.8</v>
      </c>
      <c r="H78" s="16">
        <f>IF($B$2=$D$2,'(검증1)이상치 검정'!$H$8, IF($B$2=$E$2,'(검증1)이상치 검정'!$H$9, IF($B$2=$F$2,'(검증1)이상치 검정'!$H$10, IF($B$2=$G$2,'(검증1)이상치 검정'!$H$11, "Error"))))</f>
        <v>50.087730413587778</v>
      </c>
      <c r="I78" s="16">
        <f>IF($B$2=$D$2,'(검증1)이상치 검정'!$I$8, IF($B$2=$E$2,'(검증1)이상치 검정'!$I$9, IF($B$2=$F$2,'(검증1)이상치 검정'!$I$10, IF($B$2=$G$2,'(검증1)이상치 검정'!$I$11, "Error"))))</f>
        <v>49.337269586412233</v>
      </c>
    </row>
    <row r="79" spans="1:9">
      <c r="A79" s="61">
        <f>IF($B$2=$D$2,'01 정보1'!B29,IF($B$2=$E$2,'01 정보1'!B115,IF($B$2=$F$2,'01 정보1'!B201,IF($B$2=$G$2,'01 정보1'!B287,"Error"))))</f>
        <v>28</v>
      </c>
      <c r="B79" s="62">
        <f>IF($B$2=$D$2,'01 정보1'!D29,IF($B$2=$E$2,'01 정보1'!D115,IF($B$2=$F$2,'01 정보1'!D201,IF($B$2=$G$2,'01 정보1'!D287,"Error"))))</f>
        <v>48.8</v>
      </c>
      <c r="C79" s="16">
        <f>IF($B$2=$D$2, '(검증1)이상치 검정'!$H$3, IF($B$2=$E$2, '(검증1)이상치 검정'!$H$4, IF($B$2=$F$2, '(검증1)이상치 검정'!$H$5, IF($B$2=$G$2, '(검증1)이상치 검정'!$H$6, "Error"))))</f>
        <v>50.471234172221415</v>
      </c>
      <c r="D79" s="16">
        <f>IF($B$2=$D$2, '(검증1)이상치 검정'!$I$3, IF($B$2=$E$2, '(검증1)이상치 검정'!$I$4, IF($B$2=$F$2, '(검증1)이상치 검정'!$I$5, IF($B$2=$G$2, '(검증1)이상치 검정'!$I$6, "Error"))))</f>
        <v>48.182254199871664</v>
      </c>
      <c r="F79" s="61">
        <f>IF($B$2=$D$2,'02 정보2'!B29,IF($B$2=$E$2,'02 정보2'!B93,IF($B$2=$F$2,'02 정보2'!B157,IF($B$2=$G$2,'02 정보2'!B221,"Error"))))</f>
        <v>28</v>
      </c>
      <c r="G79" s="62">
        <f>IF($B$2=$D$2,'02 정보2'!D29,IF($B$2=$E$2,'02 정보2'!D93,IF($B$2=$F$2,'02 정보2'!D157,IF($B$2=$G$2,'02 정보2'!D221,"Error"))))</f>
        <v>49.9</v>
      </c>
      <c r="H79" s="16">
        <f>IF($B$2=$D$2,'(검증1)이상치 검정'!$H$8, IF($B$2=$E$2,'(검증1)이상치 검정'!$H$9, IF($B$2=$F$2,'(검증1)이상치 검정'!$H$10, IF($B$2=$G$2,'(검증1)이상치 검정'!$H$11, "Error"))))</f>
        <v>50.087730413587778</v>
      </c>
      <c r="I79" s="16">
        <f>IF($B$2=$D$2,'(검증1)이상치 검정'!$I$8, IF($B$2=$E$2,'(검증1)이상치 검정'!$I$9, IF($B$2=$F$2,'(검증1)이상치 검정'!$I$10, IF($B$2=$G$2,'(검증1)이상치 검정'!$I$11, "Error"))))</f>
        <v>49.337269586412233</v>
      </c>
    </row>
    <row r="80" spans="1:9">
      <c r="A80" s="61">
        <f>IF($B$2=$D$2,'01 정보1'!B30,IF($B$2=$E$2,'01 정보1'!B116,IF($B$2=$F$2,'01 정보1'!B202,IF($B$2=$G$2,'01 정보1'!B288,"Error"))))</f>
        <v>29</v>
      </c>
      <c r="B80" s="62">
        <f>IF($B$2=$D$2,'01 정보1'!D30,IF($B$2=$E$2,'01 정보1'!D116,IF($B$2=$F$2,'01 정보1'!D202,IF($B$2=$G$2,'01 정보1'!D288,"Error"))))</f>
        <v>48.9</v>
      </c>
      <c r="C80" s="16">
        <f>IF($B$2=$D$2, '(검증1)이상치 검정'!$H$3, IF($B$2=$E$2, '(검증1)이상치 검정'!$H$4, IF($B$2=$F$2, '(검증1)이상치 검정'!$H$5, IF($B$2=$G$2, '(검증1)이상치 검정'!$H$6, "Error"))))</f>
        <v>50.471234172221415</v>
      </c>
      <c r="D80" s="16">
        <f>IF($B$2=$D$2, '(검증1)이상치 검정'!$I$3, IF($B$2=$E$2, '(검증1)이상치 검정'!$I$4, IF($B$2=$F$2, '(검증1)이상치 검정'!$I$5, IF($B$2=$G$2, '(검증1)이상치 검정'!$I$6, "Error"))))</f>
        <v>48.182254199871664</v>
      </c>
      <c r="F80" s="61">
        <f>IF($B$2=$D$2,'02 정보2'!B30,IF($B$2=$E$2,'02 정보2'!B94,IF($B$2=$F$2,'02 정보2'!B158,IF($B$2=$G$2,'02 정보2'!B222,"Error"))))</f>
        <v>29</v>
      </c>
      <c r="G80" s="62">
        <f>IF($B$2=$D$2,'02 정보2'!D30,IF($B$2=$E$2,'02 정보2'!D94,IF($B$2=$F$2,'02 정보2'!D158,IF($B$2=$G$2,'02 정보2'!D222,"Error"))))</f>
        <v>49.8</v>
      </c>
      <c r="H80" s="16">
        <f>IF($B$2=$D$2,'(검증1)이상치 검정'!$H$8, IF($B$2=$E$2,'(검증1)이상치 검정'!$H$9, IF($B$2=$F$2,'(검증1)이상치 검정'!$H$10, IF($B$2=$G$2,'(검증1)이상치 검정'!$H$11, "Error"))))</f>
        <v>50.087730413587778</v>
      </c>
      <c r="I80" s="16">
        <f>IF($B$2=$D$2,'(검증1)이상치 검정'!$I$8, IF($B$2=$E$2,'(검증1)이상치 검정'!$I$9, IF($B$2=$F$2,'(검증1)이상치 검정'!$I$10, IF($B$2=$G$2,'(검증1)이상치 검정'!$I$11, "Error"))))</f>
        <v>49.337269586412233</v>
      </c>
    </row>
    <row r="81" spans="1:9">
      <c r="A81" s="61">
        <f>IF($B$2=$D$2,'01 정보1'!B31,IF($B$2=$E$2,'01 정보1'!B117,IF($B$2=$F$2,'01 정보1'!B203,IF($B$2=$G$2,'01 정보1'!B289,"Error"))))</f>
        <v>30</v>
      </c>
      <c r="B81" s="62">
        <f>IF($B$2=$D$2,'01 정보1'!D31,IF($B$2=$E$2,'01 정보1'!D117,IF($B$2=$F$2,'01 정보1'!D203,IF($B$2=$G$2,'01 정보1'!D289,"Error"))))</f>
        <v>48.9</v>
      </c>
      <c r="C81" s="16">
        <f>IF($B$2=$D$2, '(검증1)이상치 검정'!$H$3, IF($B$2=$E$2, '(검증1)이상치 검정'!$H$4, IF($B$2=$F$2, '(검증1)이상치 검정'!$H$5, IF($B$2=$G$2, '(검증1)이상치 검정'!$H$6, "Error"))))</f>
        <v>50.471234172221415</v>
      </c>
      <c r="D81" s="16">
        <f>IF($B$2=$D$2, '(검증1)이상치 검정'!$I$3, IF($B$2=$E$2, '(검증1)이상치 검정'!$I$4, IF($B$2=$F$2, '(검증1)이상치 검정'!$I$5, IF($B$2=$G$2, '(검증1)이상치 검정'!$I$6, "Error"))))</f>
        <v>48.182254199871664</v>
      </c>
      <c r="F81" s="61">
        <f>IF($B$2=$D$2,'02 정보2'!B31,IF($B$2=$E$2,'02 정보2'!B95,IF($B$2=$F$2,'02 정보2'!B159,IF($B$2=$G$2,'02 정보2'!B223,"Error"))))</f>
        <v>30</v>
      </c>
      <c r="G81" s="62">
        <f>IF($B$2=$D$2,'02 정보2'!D31,IF($B$2=$E$2,'02 정보2'!D95,IF($B$2=$F$2,'02 정보2'!D159,IF($B$2=$G$2,'02 정보2'!D223,"Error"))))</f>
        <v>49.8</v>
      </c>
      <c r="H81" s="16">
        <f>IF($B$2=$D$2,'(검증1)이상치 검정'!$H$8, IF($B$2=$E$2,'(검증1)이상치 검정'!$H$9, IF($B$2=$F$2,'(검증1)이상치 검정'!$H$10, IF($B$2=$G$2,'(검증1)이상치 검정'!$H$11, "Error"))))</f>
        <v>50.087730413587778</v>
      </c>
      <c r="I81" s="16">
        <f>IF($B$2=$D$2,'(검증1)이상치 검정'!$I$8, IF($B$2=$E$2,'(검증1)이상치 검정'!$I$9, IF($B$2=$F$2,'(검증1)이상치 검정'!$I$10, IF($B$2=$G$2,'(검증1)이상치 검정'!$I$11, "Error"))))</f>
        <v>49.337269586412233</v>
      </c>
    </row>
    <row r="82" spans="1:9">
      <c r="A82" s="61">
        <f>IF($B$2=$D$2,'01 정보1'!B32,IF($B$2=$E$2,'01 정보1'!B118,IF($B$2=$F$2,'01 정보1'!B204,IF($B$2=$G$2,'01 정보1'!B290,"Error"))))</f>
        <v>31</v>
      </c>
      <c r="B82" s="62">
        <f>IF($B$2=$D$2,'01 정보1'!D32,IF($B$2=$E$2,'01 정보1'!D118,IF($B$2=$F$2,'01 정보1'!D204,IF($B$2=$G$2,'01 정보1'!D290,"Error"))))</f>
        <v>48.7</v>
      </c>
      <c r="C82" s="16">
        <f>IF($B$2=$D$2, '(검증1)이상치 검정'!$H$3, IF($B$2=$E$2, '(검증1)이상치 검정'!$H$4, IF($B$2=$F$2, '(검증1)이상치 검정'!$H$5, IF($B$2=$G$2, '(검증1)이상치 검정'!$H$6, "Error"))))</f>
        <v>50.471234172221415</v>
      </c>
      <c r="D82" s="16">
        <f>IF($B$2=$D$2, '(검증1)이상치 검정'!$I$3, IF($B$2=$E$2, '(검증1)이상치 검정'!$I$4, IF($B$2=$F$2, '(검증1)이상치 검정'!$I$5, IF($B$2=$G$2, '(검증1)이상치 검정'!$I$6, "Error"))))</f>
        <v>48.182254199871664</v>
      </c>
      <c r="F82" s="61">
        <f>IF($B$2=$D$2,'02 정보2'!B32,IF($B$2=$E$2,'02 정보2'!B96,IF($B$2=$F$2,'02 정보2'!B160,IF($B$2=$G$2,'02 정보2'!B224,"Error"))))</f>
        <v>31</v>
      </c>
      <c r="G82" s="62">
        <f>IF($B$2=$D$2,'02 정보2'!D32,IF($B$2=$E$2,'02 정보2'!D96,IF($B$2=$F$2,'02 정보2'!D160,IF($B$2=$G$2,'02 정보2'!D224,"Error"))))</f>
        <v>49.9</v>
      </c>
      <c r="H82" s="16">
        <f>IF($B$2=$D$2,'(검증1)이상치 검정'!$H$8, IF($B$2=$E$2,'(검증1)이상치 검정'!$H$9, IF($B$2=$F$2,'(검증1)이상치 검정'!$H$10, IF($B$2=$G$2,'(검증1)이상치 검정'!$H$11, "Error"))))</f>
        <v>50.087730413587778</v>
      </c>
      <c r="I82" s="16">
        <f>IF($B$2=$D$2,'(검증1)이상치 검정'!$I$8, IF($B$2=$E$2,'(검증1)이상치 검정'!$I$9, IF($B$2=$F$2,'(검증1)이상치 검정'!$I$10, IF($B$2=$G$2,'(검증1)이상치 검정'!$I$11, "Error"))))</f>
        <v>49.337269586412233</v>
      </c>
    </row>
    <row r="83" spans="1:9">
      <c r="A83" s="61">
        <f>IF($B$2=$D$2,'01 정보1'!B33,IF($B$2=$E$2,'01 정보1'!B119,IF($B$2=$F$2,'01 정보1'!B205,IF($B$2=$G$2,'01 정보1'!B291,"Error"))))</f>
        <v>32</v>
      </c>
      <c r="B83" s="62">
        <f>IF($B$2=$D$2,'01 정보1'!D33,IF($B$2=$E$2,'01 정보1'!D119,IF($B$2=$F$2,'01 정보1'!D205,IF($B$2=$G$2,'01 정보1'!D291,"Error"))))</f>
        <v>48.9</v>
      </c>
      <c r="C83" s="16">
        <f>IF($B$2=$D$2, '(검증1)이상치 검정'!$H$3, IF($B$2=$E$2, '(검증1)이상치 검정'!$H$4, IF($B$2=$F$2, '(검증1)이상치 검정'!$H$5, IF($B$2=$G$2, '(검증1)이상치 검정'!$H$6, "Error"))))</f>
        <v>50.471234172221415</v>
      </c>
      <c r="D83" s="16">
        <f>IF($B$2=$D$2, '(검증1)이상치 검정'!$I$3, IF($B$2=$E$2, '(검증1)이상치 검정'!$I$4, IF($B$2=$F$2, '(검증1)이상치 검정'!$I$5, IF($B$2=$G$2, '(검증1)이상치 검정'!$I$6, "Error"))))</f>
        <v>48.182254199871664</v>
      </c>
      <c r="F83" s="61">
        <f>IF($B$2=$D$2,'02 정보2'!B33,IF($B$2=$E$2,'02 정보2'!B97,IF($B$2=$F$2,'02 정보2'!B161,IF($B$2=$G$2,'02 정보2'!B225,"Error"))))</f>
        <v>32</v>
      </c>
      <c r="G83" s="62">
        <f>IF($B$2=$D$2,'02 정보2'!D33,IF($B$2=$E$2,'02 정보2'!D97,IF($B$2=$F$2,'02 정보2'!D161,IF($B$2=$G$2,'02 정보2'!D225,"Error"))))</f>
        <v>49.7</v>
      </c>
      <c r="H83" s="16">
        <f>IF($B$2=$D$2,'(검증1)이상치 검정'!$H$8, IF($B$2=$E$2,'(검증1)이상치 검정'!$H$9, IF($B$2=$F$2,'(검증1)이상치 검정'!$H$10, IF($B$2=$G$2,'(검증1)이상치 검정'!$H$11, "Error"))))</f>
        <v>50.087730413587778</v>
      </c>
      <c r="I83" s="16">
        <f>IF($B$2=$D$2,'(검증1)이상치 검정'!$I$8, IF($B$2=$E$2,'(검증1)이상치 검정'!$I$9, IF($B$2=$F$2,'(검증1)이상치 검정'!$I$10, IF($B$2=$G$2,'(검증1)이상치 검정'!$I$11, "Error"))))</f>
        <v>49.337269586412233</v>
      </c>
    </row>
    <row r="84" spans="1:9">
      <c r="A84" s="61">
        <f>IF($B$2=$D$2,'01 정보1'!B34,IF($B$2=$E$2,'01 정보1'!B120,IF($B$2=$F$2,'01 정보1'!B206,IF($B$2=$G$2,'01 정보1'!B292,"Error"))))</f>
        <v>33</v>
      </c>
      <c r="B84" s="62">
        <f>IF($B$2=$D$2,'01 정보1'!D34,IF($B$2=$E$2,'01 정보1'!D120,IF($B$2=$F$2,'01 정보1'!D206,IF($B$2=$G$2,'01 정보1'!D292,"Error"))))</f>
        <v>48.8</v>
      </c>
      <c r="C84" s="16">
        <f>IF($B$2=$D$2, '(검증1)이상치 검정'!$H$3, IF($B$2=$E$2, '(검증1)이상치 검정'!$H$4, IF($B$2=$F$2, '(검증1)이상치 검정'!$H$5, IF($B$2=$G$2, '(검증1)이상치 검정'!$H$6, "Error"))))</f>
        <v>50.471234172221415</v>
      </c>
      <c r="D84" s="16">
        <f>IF($B$2=$D$2, '(검증1)이상치 검정'!$I$3, IF($B$2=$E$2, '(검증1)이상치 검정'!$I$4, IF($B$2=$F$2, '(검증1)이상치 검정'!$I$5, IF($B$2=$G$2, '(검증1)이상치 검정'!$I$6, "Error"))))</f>
        <v>48.182254199871664</v>
      </c>
      <c r="F84" s="61">
        <f>IF($B$2=$D$2,'02 정보2'!B34,IF($B$2=$E$2,'02 정보2'!B98,IF($B$2=$F$2,'02 정보2'!B162,IF($B$2=$G$2,'02 정보2'!B226,"Error"))))</f>
        <v>33</v>
      </c>
      <c r="G84" s="62">
        <f>IF($B$2=$D$2,'02 정보2'!D34,IF($B$2=$E$2,'02 정보2'!D98,IF($B$2=$F$2,'02 정보2'!D162,IF($B$2=$G$2,'02 정보2'!D226,"Error"))))</f>
        <v>49.9</v>
      </c>
      <c r="H84" s="16">
        <f>IF($B$2=$D$2,'(검증1)이상치 검정'!$H$8, IF($B$2=$E$2,'(검증1)이상치 검정'!$H$9, IF($B$2=$F$2,'(검증1)이상치 검정'!$H$10, IF($B$2=$G$2,'(검증1)이상치 검정'!$H$11, "Error"))))</f>
        <v>50.087730413587778</v>
      </c>
      <c r="I84" s="16">
        <f>IF($B$2=$D$2,'(검증1)이상치 검정'!$I$8, IF($B$2=$E$2,'(검증1)이상치 검정'!$I$9, IF($B$2=$F$2,'(검증1)이상치 검정'!$I$10, IF($B$2=$G$2,'(검증1)이상치 검정'!$I$11, "Error"))))</f>
        <v>49.337269586412233</v>
      </c>
    </row>
    <row r="85" spans="1:9">
      <c r="A85" s="61">
        <f>IF($B$2=$D$2,'01 정보1'!B35,IF($B$2=$E$2,'01 정보1'!B121,IF($B$2=$F$2,'01 정보1'!B207,IF($B$2=$G$2,'01 정보1'!B293,"Error"))))</f>
        <v>34</v>
      </c>
      <c r="B85" s="62">
        <f>IF($B$2=$D$2,'01 정보1'!D35,IF($B$2=$E$2,'01 정보1'!D121,IF($B$2=$F$2,'01 정보1'!D207,IF($B$2=$G$2,'01 정보1'!D293,"Error"))))</f>
        <v>48.7</v>
      </c>
      <c r="C85" s="16">
        <f>IF($B$2=$D$2, '(검증1)이상치 검정'!$H$3, IF($B$2=$E$2, '(검증1)이상치 검정'!$H$4, IF($B$2=$F$2, '(검증1)이상치 검정'!$H$5, IF($B$2=$G$2, '(검증1)이상치 검정'!$H$6, "Error"))))</f>
        <v>50.471234172221415</v>
      </c>
      <c r="D85" s="16">
        <f>IF($B$2=$D$2, '(검증1)이상치 검정'!$I$3, IF($B$2=$E$2, '(검증1)이상치 검정'!$I$4, IF($B$2=$F$2, '(검증1)이상치 검정'!$I$5, IF($B$2=$G$2, '(검증1)이상치 검정'!$I$6, "Error"))))</f>
        <v>48.182254199871664</v>
      </c>
      <c r="F85" s="61">
        <f>IF($B$2=$D$2,'02 정보2'!B35,IF($B$2=$E$2,'02 정보2'!B99,IF($B$2=$F$2,'02 정보2'!B163,IF($B$2=$G$2,'02 정보2'!B227,"Error"))))</f>
        <v>34</v>
      </c>
      <c r="G85" s="62">
        <f>IF($B$2=$D$2,'02 정보2'!D35,IF($B$2=$E$2,'02 정보2'!D99,IF($B$2=$F$2,'02 정보2'!D163,IF($B$2=$G$2,'02 정보2'!D227,"Error"))))</f>
        <v>49.8</v>
      </c>
      <c r="H85" s="16">
        <f>IF($B$2=$D$2,'(검증1)이상치 검정'!$H$8, IF($B$2=$E$2,'(검증1)이상치 검정'!$H$9, IF($B$2=$F$2,'(검증1)이상치 검정'!$H$10, IF($B$2=$G$2,'(검증1)이상치 검정'!$H$11, "Error"))))</f>
        <v>50.087730413587778</v>
      </c>
      <c r="I85" s="16">
        <f>IF($B$2=$D$2,'(검증1)이상치 검정'!$I$8, IF($B$2=$E$2,'(검증1)이상치 검정'!$I$9, IF($B$2=$F$2,'(검증1)이상치 검정'!$I$10, IF($B$2=$G$2,'(검증1)이상치 검정'!$I$11, "Error"))))</f>
        <v>49.337269586412233</v>
      </c>
    </row>
    <row r="86" spans="1:9">
      <c r="A86" s="61">
        <f>IF($B$2=$D$2,'01 정보1'!B36,IF($B$2=$E$2,'01 정보1'!B122,IF($B$2=$F$2,'01 정보1'!B208,IF($B$2=$G$2,'01 정보1'!B294,"Error"))))</f>
        <v>35</v>
      </c>
      <c r="B86" s="62">
        <f>IF($B$2=$D$2,'01 정보1'!D36,IF($B$2=$E$2,'01 정보1'!D122,IF($B$2=$F$2,'01 정보1'!D208,IF($B$2=$G$2,'01 정보1'!D294,"Error"))))</f>
        <v>48.9</v>
      </c>
      <c r="C86" s="16">
        <f>IF($B$2=$D$2, '(검증1)이상치 검정'!$H$3, IF($B$2=$E$2, '(검증1)이상치 검정'!$H$4, IF($B$2=$F$2, '(검증1)이상치 검정'!$H$5, IF($B$2=$G$2, '(검증1)이상치 검정'!$H$6, "Error"))))</f>
        <v>50.471234172221415</v>
      </c>
      <c r="D86" s="16">
        <f>IF($B$2=$D$2, '(검증1)이상치 검정'!$I$3, IF($B$2=$E$2, '(검증1)이상치 검정'!$I$4, IF($B$2=$F$2, '(검증1)이상치 검정'!$I$5, IF($B$2=$G$2, '(검증1)이상치 검정'!$I$6, "Error"))))</f>
        <v>48.182254199871664</v>
      </c>
      <c r="F86" s="61">
        <f>IF($B$2=$D$2,'02 정보2'!B36,IF($B$2=$E$2,'02 정보2'!B100,IF($B$2=$F$2,'02 정보2'!B164,IF($B$2=$G$2,'02 정보2'!B228,"Error"))))</f>
        <v>35</v>
      </c>
      <c r="G86" s="62">
        <f>IF($B$2=$D$2,'02 정보2'!D36,IF($B$2=$E$2,'02 정보2'!D100,IF($B$2=$F$2,'02 정보2'!D164,IF($B$2=$G$2,'02 정보2'!D228,"Error"))))</f>
        <v>49.6</v>
      </c>
      <c r="H86" s="16">
        <f>IF($B$2=$D$2,'(검증1)이상치 검정'!$H$8, IF($B$2=$E$2,'(검증1)이상치 검정'!$H$9, IF($B$2=$F$2,'(검증1)이상치 검정'!$H$10, IF($B$2=$G$2,'(검증1)이상치 검정'!$H$11, "Error"))))</f>
        <v>50.087730413587778</v>
      </c>
      <c r="I86" s="16">
        <f>IF($B$2=$D$2,'(검증1)이상치 검정'!$I$8, IF($B$2=$E$2,'(검증1)이상치 검정'!$I$9, IF($B$2=$F$2,'(검증1)이상치 검정'!$I$10, IF($B$2=$G$2,'(검증1)이상치 검정'!$I$11, "Error"))))</f>
        <v>49.337269586412233</v>
      </c>
    </row>
    <row r="87" spans="1:9">
      <c r="A87" s="61">
        <f>IF($B$2=$D$2,'01 정보1'!B37,IF($B$2=$E$2,'01 정보1'!B123,IF($B$2=$F$2,'01 정보1'!B209,IF($B$2=$G$2,'01 정보1'!B295,"Error"))))</f>
        <v>36</v>
      </c>
      <c r="B87" s="62">
        <f>IF($B$2=$D$2,'01 정보1'!D37,IF($B$2=$E$2,'01 정보1'!D123,IF($B$2=$F$2,'01 정보1'!D209,IF($B$2=$G$2,'01 정보1'!D295,"Error"))))</f>
        <v>49</v>
      </c>
      <c r="C87" s="16">
        <f>IF($B$2=$D$2, '(검증1)이상치 검정'!$H$3, IF($B$2=$E$2, '(검증1)이상치 검정'!$H$4, IF($B$2=$F$2, '(검증1)이상치 검정'!$H$5, IF($B$2=$G$2, '(검증1)이상치 검정'!$H$6, "Error"))))</f>
        <v>50.471234172221415</v>
      </c>
      <c r="D87" s="16">
        <f>IF($B$2=$D$2, '(검증1)이상치 검정'!$I$3, IF($B$2=$E$2, '(검증1)이상치 검정'!$I$4, IF($B$2=$F$2, '(검증1)이상치 검정'!$I$5, IF($B$2=$G$2, '(검증1)이상치 검정'!$I$6, "Error"))))</f>
        <v>48.182254199871664</v>
      </c>
      <c r="F87" s="61">
        <f>IF($B$2=$D$2,'02 정보2'!B37,IF($B$2=$E$2,'02 정보2'!B101,IF($B$2=$F$2,'02 정보2'!B165,IF($B$2=$G$2,'02 정보2'!B229,"Error"))))</f>
        <v>36</v>
      </c>
      <c r="G87" s="62">
        <f>IF($B$2=$D$2,'02 정보2'!D37,IF($B$2=$E$2,'02 정보2'!D101,IF($B$2=$F$2,'02 정보2'!D165,IF($B$2=$G$2,'02 정보2'!D229,"Error"))))</f>
        <v>49.6</v>
      </c>
      <c r="H87" s="16">
        <f>IF($B$2=$D$2,'(검증1)이상치 검정'!$H$8, IF($B$2=$E$2,'(검증1)이상치 검정'!$H$9, IF($B$2=$F$2,'(검증1)이상치 검정'!$H$10, IF($B$2=$G$2,'(검증1)이상치 검정'!$H$11, "Error"))))</f>
        <v>50.087730413587778</v>
      </c>
      <c r="I87" s="16">
        <f>IF($B$2=$D$2,'(검증1)이상치 검정'!$I$8, IF($B$2=$E$2,'(검증1)이상치 검정'!$I$9, IF($B$2=$F$2,'(검증1)이상치 검정'!$I$10, IF($B$2=$G$2,'(검증1)이상치 검정'!$I$11, "Error"))))</f>
        <v>49.337269586412233</v>
      </c>
    </row>
    <row r="88" spans="1:9">
      <c r="A88" s="61">
        <f>IF($B$2=$D$2,'01 정보1'!B38,IF($B$2=$E$2,'01 정보1'!B124,IF($B$2=$F$2,'01 정보1'!B210,IF($B$2=$G$2,'01 정보1'!B296,"Error"))))</f>
        <v>37</v>
      </c>
      <c r="B88" s="62">
        <f>IF($B$2=$D$2,'01 정보1'!D38,IF($B$2=$E$2,'01 정보1'!D124,IF($B$2=$F$2,'01 정보1'!D210,IF($B$2=$G$2,'01 정보1'!D296,"Error"))))</f>
        <v>49</v>
      </c>
      <c r="C88" s="16">
        <f>IF($B$2=$D$2, '(검증1)이상치 검정'!$H$3, IF($B$2=$E$2, '(검증1)이상치 검정'!$H$4, IF($B$2=$F$2, '(검증1)이상치 검정'!$H$5, IF($B$2=$G$2, '(검증1)이상치 검정'!$H$6, "Error"))))</f>
        <v>50.471234172221415</v>
      </c>
      <c r="D88" s="16">
        <f>IF($B$2=$D$2, '(검증1)이상치 검정'!$I$3, IF($B$2=$E$2, '(검증1)이상치 검정'!$I$4, IF($B$2=$F$2, '(검증1)이상치 검정'!$I$5, IF($B$2=$G$2, '(검증1)이상치 검정'!$I$6, "Error"))))</f>
        <v>48.182254199871664</v>
      </c>
      <c r="F88" s="61">
        <f>IF($B$2=$D$2,'02 정보2'!B38,IF($B$2=$E$2,'02 정보2'!B102,IF($B$2=$F$2,'02 정보2'!B166,IF($B$2=$G$2,'02 정보2'!B230,"Error"))))</f>
        <v>37</v>
      </c>
      <c r="G88" s="62">
        <f>IF($B$2=$D$2,'02 정보2'!D38,IF($B$2=$E$2,'02 정보2'!D102,IF($B$2=$F$2,'02 정보2'!D166,IF($B$2=$G$2,'02 정보2'!D230,"Error"))))</f>
        <v>49.8</v>
      </c>
      <c r="H88" s="16">
        <f>IF($B$2=$D$2,'(검증1)이상치 검정'!$H$8, IF($B$2=$E$2,'(검증1)이상치 검정'!$H$9, IF($B$2=$F$2,'(검증1)이상치 검정'!$H$10, IF($B$2=$G$2,'(검증1)이상치 검정'!$H$11, "Error"))))</f>
        <v>50.087730413587778</v>
      </c>
      <c r="I88" s="16">
        <f>IF($B$2=$D$2,'(검증1)이상치 검정'!$I$8, IF($B$2=$E$2,'(검증1)이상치 검정'!$I$9, IF($B$2=$F$2,'(검증1)이상치 검정'!$I$10, IF($B$2=$G$2,'(검증1)이상치 검정'!$I$11, "Error"))))</f>
        <v>49.337269586412233</v>
      </c>
    </row>
    <row r="89" spans="1:9">
      <c r="A89" s="61">
        <f>IF($B$2=$D$2,'01 정보1'!B39,IF($B$2=$E$2,'01 정보1'!B125,IF($B$2=$F$2,'01 정보1'!B211,IF($B$2=$G$2,'01 정보1'!B297,"Error"))))</f>
        <v>38</v>
      </c>
      <c r="B89" s="62">
        <f>IF($B$2=$D$2,'01 정보1'!D39,IF($B$2=$E$2,'01 정보1'!D125,IF($B$2=$F$2,'01 정보1'!D211,IF($B$2=$G$2,'01 정보1'!D297,"Error"))))</f>
        <v>48.9</v>
      </c>
      <c r="C89" s="16">
        <f>IF($B$2=$D$2, '(검증1)이상치 검정'!$H$3, IF($B$2=$E$2, '(검증1)이상치 검정'!$H$4, IF($B$2=$F$2, '(검증1)이상치 검정'!$H$5, IF($B$2=$G$2, '(검증1)이상치 검정'!$H$6, "Error"))))</f>
        <v>50.471234172221415</v>
      </c>
      <c r="D89" s="16">
        <f>IF($B$2=$D$2, '(검증1)이상치 검정'!$I$3, IF($B$2=$E$2, '(검증1)이상치 검정'!$I$4, IF($B$2=$F$2, '(검증1)이상치 검정'!$I$5, IF($B$2=$G$2, '(검증1)이상치 검정'!$I$6, "Error"))))</f>
        <v>48.182254199871664</v>
      </c>
      <c r="F89" s="61">
        <f>IF($B$2=$D$2,'02 정보2'!B39,IF($B$2=$E$2,'02 정보2'!B103,IF($B$2=$F$2,'02 정보2'!B167,IF($B$2=$G$2,'02 정보2'!B231,"Error"))))</f>
        <v>38</v>
      </c>
      <c r="G89" s="62">
        <f>IF($B$2=$D$2,'02 정보2'!D39,IF($B$2=$E$2,'02 정보2'!D103,IF($B$2=$F$2,'02 정보2'!D167,IF($B$2=$G$2,'02 정보2'!D231,"Error"))))</f>
        <v>49.9</v>
      </c>
      <c r="H89" s="16">
        <f>IF($B$2=$D$2,'(검증1)이상치 검정'!$H$8, IF($B$2=$E$2,'(검증1)이상치 검정'!$H$9, IF($B$2=$F$2,'(검증1)이상치 검정'!$H$10, IF($B$2=$G$2,'(검증1)이상치 검정'!$H$11, "Error"))))</f>
        <v>50.087730413587778</v>
      </c>
      <c r="I89" s="16">
        <f>IF($B$2=$D$2,'(검증1)이상치 검정'!$I$8, IF($B$2=$E$2,'(검증1)이상치 검정'!$I$9, IF($B$2=$F$2,'(검증1)이상치 검정'!$I$10, IF($B$2=$G$2,'(검증1)이상치 검정'!$I$11, "Error"))))</f>
        <v>49.337269586412233</v>
      </c>
    </row>
    <row r="90" spans="1:9">
      <c r="A90" s="61">
        <f>IF($B$2=$D$2,'01 정보1'!B40,IF($B$2=$E$2,'01 정보1'!B126,IF($B$2=$F$2,'01 정보1'!B212,IF($B$2=$G$2,'01 정보1'!B298,"Error"))))</f>
        <v>39</v>
      </c>
      <c r="B90" s="62">
        <f>IF($B$2=$D$2,'01 정보1'!D40,IF($B$2=$E$2,'01 정보1'!D126,IF($B$2=$F$2,'01 정보1'!D212,IF($B$2=$G$2,'01 정보1'!D298,"Error"))))</f>
        <v>48.8</v>
      </c>
      <c r="C90" s="16">
        <f>IF($B$2=$D$2, '(검증1)이상치 검정'!$H$3, IF($B$2=$E$2, '(검증1)이상치 검정'!$H$4, IF($B$2=$F$2, '(검증1)이상치 검정'!$H$5, IF($B$2=$G$2, '(검증1)이상치 검정'!$H$6, "Error"))))</f>
        <v>50.471234172221415</v>
      </c>
      <c r="D90" s="16">
        <f>IF($B$2=$D$2, '(검증1)이상치 검정'!$I$3, IF($B$2=$E$2, '(검증1)이상치 검정'!$I$4, IF($B$2=$F$2, '(검증1)이상치 검정'!$I$5, IF($B$2=$G$2, '(검증1)이상치 검정'!$I$6, "Error"))))</f>
        <v>48.182254199871664</v>
      </c>
      <c r="F90" s="61">
        <f>IF($B$2=$D$2,'02 정보2'!B40,IF($B$2=$E$2,'02 정보2'!B104,IF($B$2=$F$2,'02 정보2'!B168,IF($B$2=$G$2,'02 정보2'!B232,"Error"))))</f>
        <v>39</v>
      </c>
      <c r="G90" s="62">
        <f>IF($B$2=$D$2,'02 정보2'!D40,IF($B$2=$E$2,'02 정보2'!D104,IF($B$2=$F$2,'02 정보2'!D168,IF($B$2=$G$2,'02 정보2'!D232,"Error"))))</f>
        <v>50</v>
      </c>
      <c r="H90" s="16">
        <f>IF($B$2=$D$2,'(검증1)이상치 검정'!$H$8, IF($B$2=$E$2,'(검증1)이상치 검정'!$H$9, IF($B$2=$F$2,'(검증1)이상치 검정'!$H$10, IF($B$2=$G$2,'(검증1)이상치 검정'!$H$11, "Error"))))</f>
        <v>50.087730413587778</v>
      </c>
      <c r="I90" s="16">
        <f>IF($B$2=$D$2,'(검증1)이상치 검정'!$I$8, IF($B$2=$E$2,'(검증1)이상치 검정'!$I$9, IF($B$2=$F$2,'(검증1)이상치 검정'!$I$10, IF($B$2=$G$2,'(검증1)이상치 검정'!$I$11, "Error"))))</f>
        <v>49.337269586412233</v>
      </c>
    </row>
    <row r="91" spans="1:9">
      <c r="A91" s="61">
        <f>IF($B$2=$D$2,'01 정보1'!B41,IF($B$2=$E$2,'01 정보1'!B127,IF($B$2=$F$2,'01 정보1'!B213,IF($B$2=$G$2,'01 정보1'!B299,"Error"))))</f>
        <v>40</v>
      </c>
      <c r="B91" s="62">
        <f>IF($B$2=$D$2,'01 정보1'!D41,IF($B$2=$E$2,'01 정보1'!D127,IF($B$2=$F$2,'01 정보1'!D213,IF($B$2=$G$2,'01 정보1'!D299,"Error"))))</f>
        <v>48.9</v>
      </c>
      <c r="C91" s="16">
        <f>IF($B$2=$D$2, '(검증1)이상치 검정'!$H$3, IF($B$2=$E$2, '(검증1)이상치 검정'!$H$4, IF($B$2=$F$2, '(검증1)이상치 검정'!$H$5, IF($B$2=$G$2, '(검증1)이상치 검정'!$H$6, "Error"))))</f>
        <v>50.471234172221415</v>
      </c>
      <c r="D91" s="16">
        <f>IF($B$2=$D$2, '(검증1)이상치 검정'!$I$3, IF($B$2=$E$2, '(검증1)이상치 검정'!$I$4, IF($B$2=$F$2, '(검증1)이상치 검정'!$I$5, IF($B$2=$G$2, '(검증1)이상치 검정'!$I$6, "Error"))))</f>
        <v>48.182254199871664</v>
      </c>
      <c r="F91" s="61">
        <f>IF($B$2=$D$2,'02 정보2'!B41,IF($B$2=$E$2,'02 정보2'!B105,IF($B$2=$F$2,'02 정보2'!B169,IF($B$2=$G$2,'02 정보2'!B233,"Error"))))</f>
        <v>40</v>
      </c>
      <c r="G91" s="62">
        <f>IF($B$2=$D$2,'02 정보2'!D41,IF($B$2=$E$2,'02 정보2'!D105,IF($B$2=$F$2,'02 정보2'!D169,IF($B$2=$G$2,'02 정보2'!D233,"Error"))))</f>
        <v>49.6</v>
      </c>
      <c r="H91" s="16">
        <f>IF($B$2=$D$2,'(검증1)이상치 검정'!$H$8, IF($B$2=$E$2,'(검증1)이상치 검정'!$H$9, IF($B$2=$F$2,'(검증1)이상치 검정'!$H$10, IF($B$2=$G$2,'(검증1)이상치 검정'!$H$11, "Error"))))</f>
        <v>50.087730413587778</v>
      </c>
      <c r="I91" s="16">
        <f>IF($B$2=$D$2,'(검증1)이상치 검정'!$I$8, IF($B$2=$E$2,'(검증1)이상치 검정'!$I$9, IF($B$2=$F$2,'(검증1)이상치 검정'!$I$10, IF($B$2=$G$2,'(검증1)이상치 검정'!$I$11, "Error"))))</f>
        <v>49.337269586412233</v>
      </c>
    </row>
    <row r="92" spans="1:9">
      <c r="A92" s="61">
        <f>IF($B$2=$D$2,'01 정보1'!B42,IF($B$2=$E$2,'01 정보1'!B128,IF($B$2=$F$2,'01 정보1'!B214,IF($B$2=$G$2,'01 정보1'!B300,"Error"))))</f>
        <v>41</v>
      </c>
      <c r="B92" s="62">
        <f>IF($B$2=$D$2,'01 정보1'!D42,IF($B$2=$E$2,'01 정보1'!D128,IF($B$2=$F$2,'01 정보1'!D214,IF($B$2=$G$2,'01 정보1'!D300,"Error"))))</f>
        <v>48.7</v>
      </c>
      <c r="C92" s="16">
        <f>IF($B$2=$D$2, '(검증1)이상치 검정'!$H$3, IF($B$2=$E$2, '(검증1)이상치 검정'!$H$4, IF($B$2=$F$2, '(검증1)이상치 검정'!$H$5, IF($B$2=$G$2, '(검증1)이상치 검정'!$H$6, "Error"))))</f>
        <v>50.471234172221415</v>
      </c>
      <c r="D92" s="16">
        <f>IF($B$2=$D$2, '(검증1)이상치 검정'!$I$3, IF($B$2=$E$2, '(검증1)이상치 검정'!$I$4, IF($B$2=$F$2, '(검증1)이상치 검정'!$I$5, IF($B$2=$G$2, '(검증1)이상치 검정'!$I$6, "Error"))))</f>
        <v>48.182254199871664</v>
      </c>
      <c r="F92" s="61">
        <f>IF($B$2=$D$2,'02 정보2'!B42,IF($B$2=$E$2,'02 정보2'!B106,IF($B$2=$F$2,'02 정보2'!B170,IF($B$2=$G$2,'02 정보2'!B234,"Error"))))</f>
        <v>41</v>
      </c>
      <c r="G92" s="62">
        <f>IF($B$2=$D$2,'02 정보2'!D42,IF($B$2=$E$2,'02 정보2'!D106,IF($B$2=$F$2,'02 정보2'!D170,IF($B$2=$G$2,'02 정보2'!D234,"Error"))))</f>
        <v>49.9</v>
      </c>
      <c r="H92" s="16">
        <f>IF($B$2=$D$2,'(검증1)이상치 검정'!$H$8, IF($B$2=$E$2,'(검증1)이상치 검정'!$H$9, IF($B$2=$F$2,'(검증1)이상치 검정'!$H$10, IF($B$2=$G$2,'(검증1)이상치 검정'!$H$11, "Error"))))</f>
        <v>50.087730413587778</v>
      </c>
      <c r="I92" s="16">
        <f>IF($B$2=$D$2,'(검증1)이상치 검정'!$I$8, IF($B$2=$E$2,'(검증1)이상치 검정'!$I$9, IF($B$2=$F$2,'(검증1)이상치 검정'!$I$10, IF($B$2=$G$2,'(검증1)이상치 검정'!$I$11, "Error"))))</f>
        <v>49.337269586412233</v>
      </c>
    </row>
    <row r="93" spans="1:9">
      <c r="A93" s="61">
        <f>IF($B$2=$D$2,'01 정보1'!B43,IF($B$2=$E$2,'01 정보1'!B129,IF($B$2=$F$2,'01 정보1'!B215,IF($B$2=$G$2,'01 정보1'!B301,"Error"))))</f>
        <v>42</v>
      </c>
      <c r="B93" s="62">
        <f>IF($B$2=$D$2,'01 정보1'!D43,IF($B$2=$E$2,'01 정보1'!D129,IF($B$2=$F$2,'01 정보1'!D215,IF($B$2=$G$2,'01 정보1'!D301,"Error"))))</f>
        <v>48.8</v>
      </c>
      <c r="C93" s="16">
        <f>IF($B$2=$D$2, '(검증1)이상치 검정'!$H$3, IF($B$2=$E$2, '(검증1)이상치 검정'!$H$4, IF($B$2=$F$2, '(검증1)이상치 검정'!$H$5, IF($B$2=$G$2, '(검증1)이상치 검정'!$H$6, "Error"))))</f>
        <v>50.471234172221415</v>
      </c>
      <c r="D93" s="16">
        <f>IF($B$2=$D$2, '(검증1)이상치 검정'!$I$3, IF($B$2=$E$2, '(검증1)이상치 검정'!$I$4, IF($B$2=$F$2, '(검증1)이상치 검정'!$I$5, IF($B$2=$G$2, '(검증1)이상치 검정'!$I$6, "Error"))))</f>
        <v>48.182254199871664</v>
      </c>
      <c r="F93" s="61">
        <f>IF($B$2=$D$2,'02 정보2'!B43,IF($B$2=$E$2,'02 정보2'!B107,IF($B$2=$F$2,'02 정보2'!B171,IF($B$2=$G$2,'02 정보2'!B235,"Error"))))</f>
        <v>42</v>
      </c>
      <c r="G93" s="62">
        <f>IF($B$2=$D$2,'02 정보2'!D43,IF($B$2=$E$2,'02 정보2'!D107,IF($B$2=$F$2,'02 정보2'!D171,IF($B$2=$G$2,'02 정보2'!D235,"Error"))))</f>
        <v>49.9</v>
      </c>
      <c r="H93" s="16">
        <f>IF($B$2=$D$2,'(검증1)이상치 검정'!$H$8, IF($B$2=$E$2,'(검증1)이상치 검정'!$H$9, IF($B$2=$F$2,'(검증1)이상치 검정'!$H$10, IF($B$2=$G$2,'(검증1)이상치 검정'!$H$11, "Error"))))</f>
        <v>50.087730413587778</v>
      </c>
      <c r="I93" s="16">
        <f>IF($B$2=$D$2,'(검증1)이상치 검정'!$I$8, IF($B$2=$E$2,'(검증1)이상치 검정'!$I$9, IF($B$2=$F$2,'(검증1)이상치 검정'!$I$10, IF($B$2=$G$2,'(검증1)이상치 검정'!$I$11, "Error"))))</f>
        <v>49.337269586412233</v>
      </c>
    </row>
    <row r="94" spans="1:9">
      <c r="A94" s="61">
        <f>IF($B$2=$D$2,'01 정보1'!B44,IF($B$2=$E$2,'01 정보1'!B130,IF($B$2=$F$2,'01 정보1'!B216,IF($B$2=$G$2,'01 정보1'!B302,"Error"))))</f>
        <v>43</v>
      </c>
      <c r="B94" s="62">
        <f>IF($B$2=$D$2,'01 정보1'!D44,IF($B$2=$E$2,'01 정보1'!D130,IF($B$2=$F$2,'01 정보1'!D216,IF($B$2=$G$2,'01 정보1'!D302,"Error"))))</f>
        <v>48.5</v>
      </c>
      <c r="C94" s="16">
        <f>IF($B$2=$D$2, '(검증1)이상치 검정'!$H$3, IF($B$2=$E$2, '(검증1)이상치 검정'!$H$4, IF($B$2=$F$2, '(검증1)이상치 검정'!$H$5, IF($B$2=$G$2, '(검증1)이상치 검정'!$H$6, "Error"))))</f>
        <v>50.471234172221415</v>
      </c>
      <c r="D94" s="16">
        <f>IF($B$2=$D$2, '(검증1)이상치 검정'!$I$3, IF($B$2=$E$2, '(검증1)이상치 검정'!$I$4, IF($B$2=$F$2, '(검증1)이상치 검정'!$I$5, IF($B$2=$G$2, '(검증1)이상치 검정'!$I$6, "Error"))))</f>
        <v>48.182254199871664</v>
      </c>
      <c r="F94" s="61">
        <f>IF($B$2=$D$2,'02 정보2'!B44,IF($B$2=$E$2,'02 정보2'!B108,IF($B$2=$F$2,'02 정보2'!B172,IF($B$2=$G$2,'02 정보2'!B236,"Error"))))</f>
        <v>43</v>
      </c>
      <c r="G94" s="62">
        <f>IF($B$2=$D$2,'02 정보2'!D44,IF($B$2=$E$2,'02 정보2'!D108,IF($B$2=$F$2,'02 정보2'!D172,IF($B$2=$G$2,'02 정보2'!D236,"Error"))))</f>
        <v>49.8</v>
      </c>
      <c r="H94" s="16">
        <f>IF($B$2=$D$2,'(검증1)이상치 검정'!$H$8, IF($B$2=$E$2,'(검증1)이상치 검정'!$H$9, IF($B$2=$F$2,'(검증1)이상치 검정'!$H$10, IF($B$2=$G$2,'(검증1)이상치 검정'!$H$11, "Error"))))</f>
        <v>50.087730413587778</v>
      </c>
      <c r="I94" s="16">
        <f>IF($B$2=$D$2,'(검증1)이상치 검정'!$I$8, IF($B$2=$E$2,'(검증1)이상치 검정'!$I$9, IF($B$2=$F$2,'(검증1)이상치 검정'!$I$10, IF($B$2=$G$2,'(검증1)이상치 검정'!$I$11, "Error"))))</f>
        <v>49.337269586412233</v>
      </c>
    </row>
    <row r="95" spans="1:9">
      <c r="A95" s="61">
        <f>IF($B$2=$D$2,'01 정보1'!B45,IF($B$2=$E$2,'01 정보1'!B131,IF($B$2=$F$2,'01 정보1'!B217,IF($B$2=$G$2,'01 정보1'!B303,"Error"))))</f>
        <v>44</v>
      </c>
      <c r="B95" s="62">
        <f>IF($B$2=$D$2,'01 정보1'!D45,IF($B$2=$E$2,'01 정보1'!D131,IF($B$2=$F$2,'01 정보1'!D217,IF($B$2=$G$2,'01 정보1'!D303,"Error"))))</f>
        <v>48.9</v>
      </c>
      <c r="C95" s="16">
        <f>IF($B$2=$D$2, '(검증1)이상치 검정'!$H$3, IF($B$2=$E$2, '(검증1)이상치 검정'!$H$4, IF($B$2=$F$2, '(검증1)이상치 검정'!$H$5, IF($B$2=$G$2, '(검증1)이상치 검정'!$H$6, "Error"))))</f>
        <v>50.471234172221415</v>
      </c>
      <c r="D95" s="16">
        <f>IF($B$2=$D$2, '(검증1)이상치 검정'!$I$3, IF($B$2=$E$2, '(검증1)이상치 검정'!$I$4, IF($B$2=$F$2, '(검증1)이상치 검정'!$I$5, IF($B$2=$G$2, '(검증1)이상치 검정'!$I$6, "Error"))))</f>
        <v>48.182254199871664</v>
      </c>
      <c r="F95" s="61">
        <f>IF($B$2=$D$2,'02 정보2'!B45,IF($B$2=$E$2,'02 정보2'!B109,IF($B$2=$F$2,'02 정보2'!B173,IF($B$2=$G$2,'02 정보2'!B237,"Error"))))</f>
        <v>44</v>
      </c>
      <c r="G95" s="62">
        <f>IF($B$2=$D$2,'02 정보2'!D45,IF($B$2=$E$2,'02 정보2'!D109,IF($B$2=$F$2,'02 정보2'!D173,IF($B$2=$G$2,'02 정보2'!D237,"Error"))))</f>
        <v>49.6</v>
      </c>
      <c r="H95" s="16">
        <f>IF($B$2=$D$2,'(검증1)이상치 검정'!$H$8, IF($B$2=$E$2,'(검증1)이상치 검정'!$H$9, IF($B$2=$F$2,'(검증1)이상치 검정'!$H$10, IF($B$2=$G$2,'(검증1)이상치 검정'!$H$11, "Error"))))</f>
        <v>50.087730413587778</v>
      </c>
      <c r="I95" s="16">
        <f>IF($B$2=$D$2,'(검증1)이상치 검정'!$I$8, IF($B$2=$E$2,'(검증1)이상치 검정'!$I$9, IF($B$2=$F$2,'(검증1)이상치 검정'!$I$10, IF($B$2=$G$2,'(검증1)이상치 검정'!$I$11, "Error"))))</f>
        <v>49.337269586412233</v>
      </c>
    </row>
    <row r="96" spans="1:9">
      <c r="A96" s="61">
        <f>IF($B$2=$D$2,'01 정보1'!B46,IF($B$2=$E$2,'01 정보1'!B132,IF($B$2=$F$2,'01 정보1'!B218,IF($B$2=$G$2,'01 정보1'!B304,"Error"))))</f>
        <v>45</v>
      </c>
      <c r="B96" s="62">
        <f>IF($B$2=$D$2,'01 정보1'!D46,IF($B$2=$E$2,'01 정보1'!D132,IF($B$2=$F$2,'01 정보1'!D218,IF($B$2=$G$2,'01 정보1'!D304,"Error"))))</f>
        <v>48.9</v>
      </c>
      <c r="C96" s="16">
        <f>IF($B$2=$D$2, '(검증1)이상치 검정'!$H$3, IF($B$2=$E$2, '(검증1)이상치 검정'!$H$4, IF($B$2=$F$2, '(검증1)이상치 검정'!$H$5, IF($B$2=$G$2, '(검증1)이상치 검정'!$H$6, "Error"))))</f>
        <v>50.471234172221415</v>
      </c>
      <c r="D96" s="16">
        <f>IF($B$2=$D$2, '(검증1)이상치 검정'!$I$3, IF($B$2=$E$2, '(검증1)이상치 검정'!$I$4, IF($B$2=$F$2, '(검증1)이상치 검정'!$I$5, IF($B$2=$G$2, '(검증1)이상치 검정'!$I$6, "Error"))))</f>
        <v>48.182254199871664</v>
      </c>
      <c r="F96" s="61">
        <f>IF($B$2=$D$2,'02 정보2'!B46,IF($B$2=$E$2,'02 정보2'!B110,IF($B$2=$F$2,'02 정보2'!B174,IF($B$2=$G$2,'02 정보2'!B238,"Error"))))</f>
        <v>45</v>
      </c>
      <c r="G96" s="62">
        <f>IF($B$2=$D$2,'02 정보2'!D46,IF($B$2=$E$2,'02 정보2'!D110,IF($B$2=$F$2,'02 정보2'!D174,IF($B$2=$G$2,'02 정보2'!D238,"Error"))))</f>
        <v>49.8</v>
      </c>
      <c r="H96" s="16">
        <f>IF($B$2=$D$2,'(검증1)이상치 검정'!$H$8, IF($B$2=$E$2,'(검증1)이상치 검정'!$H$9, IF($B$2=$F$2,'(검증1)이상치 검정'!$H$10, IF($B$2=$G$2,'(검증1)이상치 검정'!$H$11, "Error"))))</f>
        <v>50.087730413587778</v>
      </c>
      <c r="I96" s="16">
        <f>IF($B$2=$D$2,'(검증1)이상치 검정'!$I$8, IF($B$2=$E$2,'(검증1)이상치 검정'!$I$9, IF($B$2=$F$2,'(검증1)이상치 검정'!$I$10, IF($B$2=$G$2,'(검증1)이상치 검정'!$I$11, "Error"))))</f>
        <v>49.337269586412233</v>
      </c>
    </row>
    <row r="97" spans="1:9">
      <c r="A97" s="61">
        <f>IF($B$2=$D$2,'01 정보1'!B47,IF($B$2=$E$2,'01 정보1'!B133,IF($B$2=$F$2,'01 정보1'!B219,IF($B$2=$G$2,'01 정보1'!B305,"Error"))))</f>
        <v>46</v>
      </c>
      <c r="B97" s="62">
        <f>IF($B$2=$D$2,'01 정보1'!D47,IF($B$2=$E$2,'01 정보1'!D133,IF($B$2=$F$2,'01 정보1'!D219,IF($B$2=$G$2,'01 정보1'!D305,"Error"))))</f>
        <v>48.8</v>
      </c>
      <c r="C97" s="16">
        <f>IF($B$2=$D$2, '(검증1)이상치 검정'!$H$3, IF($B$2=$E$2, '(검증1)이상치 검정'!$H$4, IF($B$2=$F$2, '(검증1)이상치 검정'!$H$5, IF($B$2=$G$2, '(검증1)이상치 검정'!$H$6, "Error"))))</f>
        <v>50.471234172221415</v>
      </c>
      <c r="D97" s="16">
        <f>IF($B$2=$D$2, '(검증1)이상치 검정'!$I$3, IF($B$2=$E$2, '(검증1)이상치 검정'!$I$4, IF($B$2=$F$2, '(검증1)이상치 검정'!$I$5, IF($B$2=$G$2, '(검증1)이상치 검정'!$I$6, "Error"))))</f>
        <v>48.182254199871664</v>
      </c>
      <c r="F97" s="61">
        <f>IF($B$2=$D$2,'02 정보2'!B47,IF($B$2=$E$2,'02 정보2'!B111,IF($B$2=$F$2,'02 정보2'!B175,IF($B$2=$G$2,'02 정보2'!B239,"Error"))))</f>
        <v>46</v>
      </c>
      <c r="G97" s="62">
        <f>IF($B$2=$D$2,'02 정보2'!D47,IF($B$2=$E$2,'02 정보2'!D111,IF($B$2=$F$2,'02 정보2'!D175,IF($B$2=$G$2,'02 정보2'!D239,"Error"))))</f>
        <v>49.7</v>
      </c>
      <c r="H97" s="16">
        <f>IF($B$2=$D$2,'(검증1)이상치 검정'!$H$8, IF($B$2=$E$2,'(검증1)이상치 검정'!$H$9, IF($B$2=$F$2,'(검증1)이상치 검정'!$H$10, IF($B$2=$G$2,'(검증1)이상치 검정'!$H$11, "Error"))))</f>
        <v>50.087730413587778</v>
      </c>
      <c r="I97" s="16">
        <f>IF($B$2=$D$2,'(검증1)이상치 검정'!$I$8, IF($B$2=$E$2,'(검증1)이상치 검정'!$I$9, IF($B$2=$F$2,'(검증1)이상치 검정'!$I$10, IF($B$2=$G$2,'(검증1)이상치 검정'!$I$11, "Error"))))</f>
        <v>49.337269586412233</v>
      </c>
    </row>
    <row r="98" spans="1:9">
      <c r="A98" s="61">
        <f>IF($B$2=$D$2,'01 정보1'!B48,IF($B$2=$E$2,'01 정보1'!B134,IF($B$2=$F$2,'01 정보1'!B220,IF($B$2=$G$2,'01 정보1'!B306,"Error"))))</f>
        <v>47</v>
      </c>
      <c r="B98" s="62">
        <f>IF($B$2=$D$2,'01 정보1'!D48,IF($B$2=$E$2,'01 정보1'!D134,IF($B$2=$F$2,'01 정보1'!D220,IF($B$2=$G$2,'01 정보1'!D306,"Error"))))</f>
        <v>48.7</v>
      </c>
      <c r="C98" s="16">
        <f>IF($B$2=$D$2, '(검증1)이상치 검정'!$H$3, IF($B$2=$E$2, '(검증1)이상치 검정'!$H$4, IF($B$2=$F$2, '(검증1)이상치 검정'!$H$5, IF($B$2=$G$2, '(검증1)이상치 검정'!$H$6, "Error"))))</f>
        <v>50.471234172221415</v>
      </c>
      <c r="D98" s="16">
        <f>IF($B$2=$D$2, '(검증1)이상치 검정'!$I$3, IF($B$2=$E$2, '(검증1)이상치 검정'!$I$4, IF($B$2=$F$2, '(검증1)이상치 검정'!$I$5, IF($B$2=$G$2, '(검증1)이상치 검정'!$I$6, "Error"))))</f>
        <v>48.182254199871664</v>
      </c>
      <c r="F98" s="61">
        <f>IF($B$2=$D$2,'02 정보2'!B48,IF($B$2=$E$2,'02 정보2'!B112,IF($B$2=$F$2,'02 정보2'!B176,IF($B$2=$G$2,'02 정보2'!B240,"Error"))))</f>
        <v>47</v>
      </c>
      <c r="G98" s="62">
        <f>IF($B$2=$D$2,'02 정보2'!D48,IF($B$2=$E$2,'02 정보2'!D112,IF($B$2=$F$2,'02 정보2'!D176,IF($B$2=$G$2,'02 정보2'!D240,"Error"))))</f>
        <v>49.5</v>
      </c>
      <c r="H98" s="16">
        <f>IF($B$2=$D$2,'(검증1)이상치 검정'!$H$8, IF($B$2=$E$2,'(검증1)이상치 검정'!$H$9, IF($B$2=$F$2,'(검증1)이상치 검정'!$H$10, IF($B$2=$G$2,'(검증1)이상치 검정'!$H$11, "Error"))))</f>
        <v>50.087730413587778</v>
      </c>
      <c r="I98" s="16">
        <f>IF($B$2=$D$2,'(검증1)이상치 검정'!$I$8, IF($B$2=$E$2,'(검증1)이상치 검정'!$I$9, IF($B$2=$F$2,'(검증1)이상치 검정'!$I$10, IF($B$2=$G$2,'(검증1)이상치 검정'!$I$11, "Error"))))</f>
        <v>49.337269586412233</v>
      </c>
    </row>
    <row r="99" spans="1:9">
      <c r="A99" s="61">
        <f>IF($B$2=$D$2,'01 정보1'!B49,IF($B$2=$E$2,'01 정보1'!B135,IF($B$2=$F$2,'01 정보1'!B221,IF($B$2=$G$2,'01 정보1'!B307,"Error"))))</f>
        <v>48</v>
      </c>
      <c r="B99" s="62">
        <f>IF($B$2=$D$2,'01 정보1'!D49,IF($B$2=$E$2,'01 정보1'!D135,IF($B$2=$F$2,'01 정보1'!D221,IF($B$2=$G$2,'01 정보1'!D307,"Error"))))</f>
        <v>48.8</v>
      </c>
      <c r="C99" s="16">
        <f>IF($B$2=$D$2, '(검증1)이상치 검정'!$H$3, IF($B$2=$E$2, '(검증1)이상치 검정'!$H$4, IF($B$2=$F$2, '(검증1)이상치 검정'!$H$5, IF($B$2=$G$2, '(검증1)이상치 검정'!$H$6, "Error"))))</f>
        <v>50.471234172221415</v>
      </c>
      <c r="D99" s="16">
        <f>IF($B$2=$D$2, '(검증1)이상치 검정'!$I$3, IF($B$2=$E$2, '(검증1)이상치 검정'!$I$4, IF($B$2=$F$2, '(검증1)이상치 검정'!$I$5, IF($B$2=$G$2, '(검증1)이상치 검정'!$I$6, "Error"))))</f>
        <v>48.182254199871664</v>
      </c>
      <c r="F99" s="61">
        <f>IF($B$2=$D$2,'02 정보2'!B49,IF($B$2=$E$2,'02 정보2'!B113,IF($B$2=$F$2,'02 정보2'!B177,IF($B$2=$G$2,'02 정보2'!B241,"Error"))))</f>
        <v>48</v>
      </c>
      <c r="G99" s="62">
        <f>IF($B$2=$D$2,'02 정보2'!D49,IF($B$2=$E$2,'02 정보2'!D113,IF($B$2=$F$2,'02 정보2'!D177,IF($B$2=$G$2,'02 정보2'!D241,"Error"))))</f>
        <v>49</v>
      </c>
      <c r="H99" s="16">
        <f>IF($B$2=$D$2,'(검증1)이상치 검정'!$H$8, IF($B$2=$E$2,'(검증1)이상치 검정'!$H$9, IF($B$2=$F$2,'(검증1)이상치 검정'!$H$10, IF($B$2=$G$2,'(검증1)이상치 검정'!$H$11, "Error"))))</f>
        <v>50.087730413587778</v>
      </c>
      <c r="I99" s="16">
        <f>IF($B$2=$D$2,'(검증1)이상치 검정'!$I$8, IF($B$2=$E$2,'(검증1)이상치 검정'!$I$9, IF($B$2=$F$2,'(검증1)이상치 검정'!$I$10, IF($B$2=$G$2,'(검증1)이상치 검정'!$I$11, "Error"))))</f>
        <v>49.337269586412233</v>
      </c>
    </row>
    <row r="100" spans="1:9">
      <c r="A100" s="61">
        <f>IF($B$2=$D$2,'01 정보1'!B50,IF($B$2=$E$2,'01 정보1'!B136,IF($B$2=$F$2,'01 정보1'!B222,IF($B$2=$G$2,'01 정보1'!B308,"Error"))))</f>
        <v>49</v>
      </c>
      <c r="B100" s="62">
        <f>IF($B$2=$D$2,'01 정보1'!D50,IF($B$2=$E$2,'01 정보1'!D136,IF($B$2=$F$2,'01 정보1'!D222,IF($B$2=$G$2,'01 정보1'!D308,"Error"))))</f>
        <v>49.3</v>
      </c>
      <c r="C100" s="16">
        <f>IF($B$2=$D$2, '(검증1)이상치 검정'!$H$3, IF($B$2=$E$2, '(검증1)이상치 검정'!$H$4, IF($B$2=$F$2, '(검증1)이상치 검정'!$H$5, IF($B$2=$G$2, '(검증1)이상치 검정'!$H$6, "Error"))))</f>
        <v>50.471234172221415</v>
      </c>
      <c r="D100" s="16">
        <f>IF($B$2=$D$2, '(검증1)이상치 검정'!$I$3, IF($B$2=$E$2, '(검증1)이상치 검정'!$I$4, IF($B$2=$F$2, '(검증1)이상치 검정'!$I$5, IF($B$2=$G$2, '(검증1)이상치 검정'!$I$6, "Error"))))</f>
        <v>48.182254199871664</v>
      </c>
      <c r="F100" s="61">
        <f>IF($B$2=$D$2,'02 정보2'!B50,IF($B$2=$E$2,'02 정보2'!B114,IF($B$2=$F$2,'02 정보2'!B178,IF($B$2=$G$2,'02 정보2'!B242,"Error"))))</f>
        <v>49</v>
      </c>
      <c r="G100" s="62">
        <f>IF($B$2=$D$2,'02 정보2'!D50,IF($B$2=$E$2,'02 정보2'!D114,IF($B$2=$F$2,'02 정보2'!D178,IF($B$2=$G$2,'02 정보2'!D242,"Error"))))</f>
        <v>49.4</v>
      </c>
      <c r="H100" s="16">
        <f>IF($B$2=$D$2,'(검증1)이상치 검정'!$H$8, IF($B$2=$E$2,'(검증1)이상치 검정'!$H$9, IF($B$2=$F$2,'(검증1)이상치 검정'!$H$10, IF($B$2=$G$2,'(검증1)이상치 검정'!$H$11, "Error"))))</f>
        <v>50.087730413587778</v>
      </c>
      <c r="I100" s="16">
        <f>IF($B$2=$D$2,'(검증1)이상치 검정'!$I$8, IF($B$2=$E$2,'(검증1)이상치 검정'!$I$9, IF($B$2=$F$2,'(검증1)이상치 검정'!$I$10, IF($B$2=$G$2,'(검증1)이상치 검정'!$I$11, "Error"))))</f>
        <v>49.337269586412233</v>
      </c>
    </row>
    <row r="101" spans="1:9">
      <c r="A101" s="61">
        <f>IF($B$2=$D$2,'01 정보1'!B51,IF($B$2=$E$2,'01 정보1'!B137,IF($B$2=$F$2,'01 정보1'!B223,IF($B$2=$G$2,'01 정보1'!B309,"Error"))))</f>
        <v>50</v>
      </c>
      <c r="B101" s="62">
        <f>IF($B$2=$D$2,'01 정보1'!D51,IF($B$2=$E$2,'01 정보1'!D137,IF($B$2=$F$2,'01 정보1'!D223,IF($B$2=$G$2,'01 정보1'!D309,"Error"))))</f>
        <v>48.7</v>
      </c>
      <c r="C101" s="16">
        <f>IF($B$2=$D$2, '(검증1)이상치 검정'!$H$3, IF($B$2=$E$2, '(검증1)이상치 검정'!$H$4, IF($B$2=$F$2, '(검증1)이상치 검정'!$H$5, IF($B$2=$G$2, '(검증1)이상치 검정'!$H$6, "Error"))))</f>
        <v>50.471234172221415</v>
      </c>
      <c r="D101" s="16">
        <f>IF($B$2=$D$2, '(검증1)이상치 검정'!$I$3, IF($B$2=$E$2, '(검증1)이상치 검정'!$I$4, IF($B$2=$F$2, '(검증1)이상치 검정'!$I$5, IF($B$2=$G$2, '(검증1)이상치 검정'!$I$6, "Error"))))</f>
        <v>48.182254199871664</v>
      </c>
      <c r="F101" s="61">
        <f>IF($B$2=$D$2,'02 정보2'!B51,IF($B$2=$E$2,'02 정보2'!B115,IF($B$2=$F$2,'02 정보2'!B179,IF($B$2=$G$2,'02 정보2'!B243,"Error"))))</f>
        <v>50</v>
      </c>
      <c r="G101" s="62">
        <f>IF($B$2=$D$2,'02 정보2'!D51,IF($B$2=$E$2,'02 정보2'!D115,IF($B$2=$F$2,'02 정보2'!D179,IF($B$2=$G$2,'02 정보2'!D243,"Error"))))</f>
        <v>49.2</v>
      </c>
      <c r="H101" s="16">
        <f>IF($B$2=$D$2,'(검증1)이상치 검정'!$H$8, IF($B$2=$E$2,'(검증1)이상치 검정'!$H$9, IF($B$2=$F$2,'(검증1)이상치 검정'!$H$10, IF($B$2=$G$2,'(검증1)이상치 검정'!$H$11, "Error"))))</f>
        <v>50.087730413587778</v>
      </c>
      <c r="I101" s="16">
        <f>IF($B$2=$D$2,'(검증1)이상치 검정'!$I$8, IF($B$2=$E$2,'(검증1)이상치 검정'!$I$9, IF($B$2=$F$2,'(검증1)이상치 검정'!$I$10, IF($B$2=$G$2,'(검증1)이상치 검정'!$I$11, "Error"))))</f>
        <v>49.337269586412233</v>
      </c>
    </row>
    <row r="102" spans="1:9">
      <c r="A102" s="61">
        <f>IF($B$2=$D$2,'01 정보1'!B52,IF($B$2=$E$2,'01 정보1'!B138,IF($B$2=$F$2,'01 정보1'!B224,IF($B$2=$G$2,'01 정보1'!B310,"Error"))))</f>
        <v>51</v>
      </c>
      <c r="B102" s="62">
        <f>IF($B$2=$D$2,'01 정보1'!D52,IF($B$2=$E$2,'01 정보1'!D138,IF($B$2=$F$2,'01 정보1'!D224,IF($B$2=$G$2,'01 정보1'!D310,"Error"))))</f>
        <v>50.1</v>
      </c>
      <c r="C102" s="16">
        <f>IF($B$2=$D$2, '(검증1)이상치 검정'!$H$3, IF($B$2=$E$2, '(검증1)이상치 검정'!$H$4, IF($B$2=$F$2, '(검증1)이상치 검정'!$H$5, IF($B$2=$G$2, '(검증1)이상치 검정'!$H$6, "Error"))))</f>
        <v>50.471234172221415</v>
      </c>
      <c r="D102" s="16">
        <f>IF($B$2=$D$2, '(검증1)이상치 검정'!$I$3, IF($B$2=$E$2, '(검증1)이상치 검정'!$I$4, IF($B$2=$F$2, '(검증1)이상치 검정'!$I$5, IF($B$2=$G$2, '(검증1)이상치 검정'!$I$6, "Error"))))</f>
        <v>48.182254199871664</v>
      </c>
      <c r="F102" s="61">
        <f>IF($B$2=$D$2,'02 정보2'!B52,IF($B$2=$E$2,'02 정보2'!B116,IF($B$2=$F$2,'02 정보2'!B180,IF($B$2=$G$2,'02 정보2'!B244,"Error"))))</f>
        <v>51</v>
      </c>
      <c r="G102" s="62">
        <f>IF($B$2=$D$2,'02 정보2'!D52,IF($B$2=$E$2,'02 정보2'!D116,IF($B$2=$F$2,'02 정보2'!D180,IF($B$2=$G$2,'02 정보2'!D244,"Error"))))</f>
        <v>49.8</v>
      </c>
      <c r="H102" s="16">
        <f>IF($B$2=$D$2,'(검증1)이상치 검정'!$H$8, IF($B$2=$E$2,'(검증1)이상치 검정'!$H$9, IF($B$2=$F$2,'(검증1)이상치 검정'!$H$10, IF($B$2=$G$2,'(검증1)이상치 검정'!$H$11, "Error"))))</f>
        <v>50.087730413587778</v>
      </c>
      <c r="I102" s="16">
        <f>IF($B$2=$D$2,'(검증1)이상치 검정'!$I$8, IF($B$2=$E$2,'(검증1)이상치 검정'!$I$9, IF($B$2=$F$2,'(검증1)이상치 검정'!$I$10, IF($B$2=$G$2,'(검증1)이상치 검정'!$I$11, "Error"))))</f>
        <v>49.337269586412233</v>
      </c>
    </row>
    <row r="103" spans="1:9">
      <c r="A103" s="61">
        <f>IF($B$2=$D$2,'01 정보1'!B53,IF($B$2=$E$2,'01 정보1'!B139,IF($B$2=$F$2,'01 정보1'!B225,IF($B$2=$G$2,'01 정보1'!B311,"Error"))))</f>
        <v>52</v>
      </c>
      <c r="B103" s="62">
        <f>IF($B$2=$D$2,'01 정보1'!D53,IF($B$2=$E$2,'01 정보1'!D139,IF($B$2=$F$2,'01 정보1'!D225,IF($B$2=$G$2,'01 정보1'!D311,"Error"))))</f>
        <v>50.3</v>
      </c>
      <c r="C103" s="16">
        <f>IF($B$2=$D$2, '(검증1)이상치 검정'!$H$3, IF($B$2=$E$2, '(검증1)이상치 검정'!$H$4, IF($B$2=$F$2, '(검증1)이상치 검정'!$H$5, IF($B$2=$G$2, '(검증1)이상치 검정'!$H$6, "Error"))))</f>
        <v>50.471234172221415</v>
      </c>
      <c r="D103" s="16">
        <f>IF($B$2=$D$2, '(검증1)이상치 검정'!$I$3, IF($B$2=$E$2, '(검증1)이상치 검정'!$I$4, IF($B$2=$F$2, '(검증1)이상치 검정'!$I$5, IF($B$2=$G$2, '(검증1)이상치 검정'!$I$6, "Error"))))</f>
        <v>48.182254199871664</v>
      </c>
      <c r="F103" s="61">
        <f>IF($B$2=$D$2,'02 정보2'!B53,IF($B$2=$E$2,'02 정보2'!B117,IF($B$2=$F$2,'02 정보2'!B181,IF($B$2=$G$2,'02 정보2'!B245,"Error"))))</f>
        <v>52</v>
      </c>
      <c r="G103" s="62">
        <f>IF($B$2=$D$2,'02 정보2'!D53,IF($B$2=$E$2,'02 정보2'!D117,IF($B$2=$F$2,'02 정보2'!D181,IF($B$2=$G$2,'02 정보2'!D245,"Error"))))</f>
        <v>49.6</v>
      </c>
      <c r="H103" s="16">
        <f>IF($B$2=$D$2,'(검증1)이상치 검정'!$H$8, IF($B$2=$E$2,'(검증1)이상치 검정'!$H$9, IF($B$2=$F$2,'(검증1)이상치 검정'!$H$10, IF($B$2=$G$2,'(검증1)이상치 검정'!$H$11, "Error"))))</f>
        <v>50.087730413587778</v>
      </c>
      <c r="I103" s="16">
        <f>IF($B$2=$D$2,'(검증1)이상치 검정'!$I$8, IF($B$2=$E$2,'(검증1)이상치 검정'!$I$9, IF($B$2=$F$2,'(검증1)이상치 검정'!$I$10, IF($B$2=$G$2,'(검증1)이상치 검정'!$I$11, "Error"))))</f>
        <v>49.337269586412233</v>
      </c>
    </row>
    <row r="104" spans="1:9">
      <c r="A104" s="61">
        <f>IF($B$2=$D$2,'01 정보1'!B54,IF($B$2=$E$2,'01 정보1'!B140,IF($B$2=$F$2,'01 정보1'!B226,IF($B$2=$G$2,'01 정보1'!B312,"Error"))))</f>
        <v>53</v>
      </c>
      <c r="B104" s="62">
        <f>IF($B$2=$D$2,'01 정보1'!D54,IF($B$2=$E$2,'01 정보1'!D140,IF($B$2=$F$2,'01 정보1'!D226,IF($B$2=$G$2,'01 정보1'!D312,"Error"))))</f>
        <v>50.2</v>
      </c>
      <c r="C104" s="16">
        <f>IF($B$2=$D$2, '(검증1)이상치 검정'!$H$3, IF($B$2=$E$2, '(검증1)이상치 검정'!$H$4, IF($B$2=$F$2, '(검증1)이상치 검정'!$H$5, IF($B$2=$G$2, '(검증1)이상치 검정'!$H$6, "Error"))))</f>
        <v>50.471234172221415</v>
      </c>
      <c r="D104" s="16">
        <f>IF($B$2=$D$2, '(검증1)이상치 검정'!$I$3, IF($B$2=$E$2, '(검증1)이상치 검정'!$I$4, IF($B$2=$F$2, '(검증1)이상치 검정'!$I$5, IF($B$2=$G$2, '(검증1)이상치 검정'!$I$6, "Error"))))</f>
        <v>48.182254199871664</v>
      </c>
      <c r="F104" s="61">
        <f>IF($B$2=$D$2,'02 정보2'!B54,IF($B$2=$E$2,'02 정보2'!B118,IF($B$2=$F$2,'02 정보2'!B182,IF($B$2=$G$2,'02 정보2'!B246,"Error"))))</f>
        <v>53</v>
      </c>
      <c r="G104" s="62">
        <f>IF($B$2=$D$2,'02 정보2'!D54,IF($B$2=$E$2,'02 정보2'!D118,IF($B$2=$F$2,'02 정보2'!D182,IF($B$2=$G$2,'02 정보2'!D246,"Error"))))</f>
        <v>49.4</v>
      </c>
      <c r="H104" s="16">
        <f>IF($B$2=$D$2,'(검증1)이상치 검정'!$H$8, IF($B$2=$E$2,'(검증1)이상치 검정'!$H$9, IF($B$2=$F$2,'(검증1)이상치 검정'!$H$10, IF($B$2=$G$2,'(검증1)이상치 검정'!$H$11, "Error"))))</f>
        <v>50.087730413587778</v>
      </c>
      <c r="I104" s="16">
        <f>IF($B$2=$D$2,'(검증1)이상치 검정'!$I$8, IF($B$2=$E$2,'(검증1)이상치 검정'!$I$9, IF($B$2=$F$2,'(검증1)이상치 검정'!$I$10, IF($B$2=$G$2,'(검증1)이상치 검정'!$I$11, "Error"))))</f>
        <v>49.337269586412233</v>
      </c>
    </row>
    <row r="105" spans="1:9">
      <c r="A105" s="61">
        <f>IF($B$2=$D$2,'01 정보1'!B55,IF($B$2=$E$2,'01 정보1'!B141,IF($B$2=$F$2,'01 정보1'!B227,IF($B$2=$G$2,'01 정보1'!B313,"Error"))))</f>
        <v>54</v>
      </c>
      <c r="B105" s="62">
        <f>IF($B$2=$D$2,'01 정보1'!D55,IF($B$2=$E$2,'01 정보1'!D141,IF($B$2=$F$2,'01 정보1'!D227,IF($B$2=$G$2,'01 정보1'!D313,"Error"))))</f>
        <v>50.2</v>
      </c>
      <c r="C105" s="16">
        <f>IF($B$2=$D$2, '(검증1)이상치 검정'!$H$3, IF($B$2=$E$2, '(검증1)이상치 검정'!$H$4, IF($B$2=$F$2, '(검증1)이상치 검정'!$H$5, IF($B$2=$G$2, '(검증1)이상치 검정'!$H$6, "Error"))))</f>
        <v>50.471234172221415</v>
      </c>
      <c r="D105" s="16">
        <f>IF($B$2=$D$2, '(검증1)이상치 검정'!$I$3, IF($B$2=$E$2, '(검증1)이상치 검정'!$I$4, IF($B$2=$F$2, '(검증1)이상치 검정'!$I$5, IF($B$2=$G$2, '(검증1)이상치 검정'!$I$6, "Error"))))</f>
        <v>48.182254199871664</v>
      </c>
      <c r="F105" s="61">
        <f>IF($B$2=$D$2,'02 정보2'!B55,IF($B$2=$E$2,'02 정보2'!B119,IF($B$2=$F$2,'02 정보2'!B183,IF($B$2=$G$2,'02 정보2'!B247,"Error"))))</f>
        <v>54</v>
      </c>
      <c r="G105" s="62">
        <f>IF($B$2=$D$2,'02 정보2'!D55,IF($B$2=$E$2,'02 정보2'!D119,IF($B$2=$F$2,'02 정보2'!D183,IF($B$2=$G$2,'02 정보2'!D247,"Error"))))</f>
        <v>49.6</v>
      </c>
      <c r="H105" s="16">
        <f>IF($B$2=$D$2,'(검증1)이상치 검정'!$H$8, IF($B$2=$E$2,'(검증1)이상치 검정'!$H$9, IF($B$2=$F$2,'(검증1)이상치 검정'!$H$10, IF($B$2=$G$2,'(검증1)이상치 검정'!$H$11, "Error"))))</f>
        <v>50.087730413587778</v>
      </c>
      <c r="I105" s="16">
        <f>IF($B$2=$D$2,'(검증1)이상치 검정'!$I$8, IF($B$2=$E$2,'(검증1)이상치 검정'!$I$9, IF($B$2=$F$2,'(검증1)이상치 검정'!$I$10, IF($B$2=$G$2,'(검증1)이상치 검정'!$I$11, "Error"))))</f>
        <v>49.337269586412233</v>
      </c>
    </row>
    <row r="106" spans="1:9">
      <c r="A106" s="61">
        <f>IF($B$2=$D$2,'01 정보1'!B56,IF($B$2=$E$2,'01 정보1'!B142,IF($B$2=$F$2,'01 정보1'!B228,IF($B$2=$G$2,'01 정보1'!B314,"Error"))))</f>
        <v>55</v>
      </c>
      <c r="B106" s="62">
        <f>IF($B$2=$D$2,'01 정보1'!D56,IF($B$2=$E$2,'01 정보1'!D142,IF($B$2=$F$2,'01 정보1'!D228,IF($B$2=$G$2,'01 정보1'!D314,"Error"))))</f>
        <v>50.2</v>
      </c>
      <c r="C106" s="16">
        <f>IF($B$2=$D$2, '(검증1)이상치 검정'!$H$3, IF($B$2=$E$2, '(검증1)이상치 검정'!$H$4, IF($B$2=$F$2, '(검증1)이상치 검정'!$H$5, IF($B$2=$G$2, '(검증1)이상치 검정'!$H$6, "Error"))))</f>
        <v>50.471234172221415</v>
      </c>
      <c r="D106" s="16">
        <f>IF($B$2=$D$2, '(검증1)이상치 검정'!$I$3, IF($B$2=$E$2, '(검증1)이상치 검정'!$I$4, IF($B$2=$F$2, '(검증1)이상치 검정'!$I$5, IF($B$2=$G$2, '(검증1)이상치 검정'!$I$6, "Error"))))</f>
        <v>48.182254199871664</v>
      </c>
      <c r="F106" s="61">
        <f>IF($B$2=$D$2,'02 정보2'!B56,IF($B$2=$E$2,'02 정보2'!B120,IF($B$2=$F$2,'02 정보2'!B184,IF($B$2=$G$2,'02 정보2'!B248,"Error"))))</f>
        <v>55</v>
      </c>
      <c r="G106" s="62">
        <f>IF($B$2=$D$2,'02 정보2'!D56,IF($B$2=$E$2,'02 정보2'!D120,IF($B$2=$F$2,'02 정보2'!D184,IF($B$2=$G$2,'02 정보2'!D248,"Error"))))</f>
        <v>49.8</v>
      </c>
      <c r="H106" s="16">
        <f>IF($B$2=$D$2,'(검증1)이상치 검정'!$H$8, IF($B$2=$E$2,'(검증1)이상치 검정'!$H$9, IF($B$2=$F$2,'(검증1)이상치 검정'!$H$10, IF($B$2=$G$2,'(검증1)이상치 검정'!$H$11, "Error"))))</f>
        <v>50.087730413587778</v>
      </c>
      <c r="I106" s="16">
        <f>IF($B$2=$D$2,'(검증1)이상치 검정'!$I$8, IF($B$2=$E$2,'(검증1)이상치 검정'!$I$9, IF($B$2=$F$2,'(검증1)이상치 검정'!$I$10, IF($B$2=$G$2,'(검증1)이상치 검정'!$I$11, "Error"))))</f>
        <v>49.337269586412233</v>
      </c>
    </row>
    <row r="107" spans="1:9">
      <c r="A107" s="61">
        <f>IF($B$2=$D$2,'01 정보1'!B57,IF($B$2=$E$2,'01 정보1'!B143,IF($B$2=$F$2,'01 정보1'!B229,IF($B$2=$G$2,'01 정보1'!B315,"Error"))))</f>
        <v>56</v>
      </c>
      <c r="B107" s="62">
        <f>IF($B$2=$D$2,'01 정보1'!D57,IF($B$2=$E$2,'01 정보1'!D143,IF($B$2=$F$2,'01 정보1'!D229,IF($B$2=$G$2,'01 정보1'!D315,"Error"))))</f>
        <v>50.2</v>
      </c>
      <c r="C107" s="16">
        <f>IF($B$2=$D$2, '(검증1)이상치 검정'!$H$3, IF($B$2=$E$2, '(검증1)이상치 검정'!$H$4, IF($B$2=$F$2, '(검증1)이상치 검정'!$H$5, IF($B$2=$G$2, '(검증1)이상치 검정'!$H$6, "Error"))))</f>
        <v>50.471234172221415</v>
      </c>
      <c r="D107" s="16">
        <f>IF($B$2=$D$2, '(검증1)이상치 검정'!$I$3, IF($B$2=$E$2, '(검증1)이상치 검정'!$I$4, IF($B$2=$F$2, '(검증1)이상치 검정'!$I$5, IF($B$2=$G$2, '(검증1)이상치 검정'!$I$6, "Error"))))</f>
        <v>48.182254199871664</v>
      </c>
      <c r="F107" s="61">
        <f>IF($B$2=$D$2,'02 정보2'!B57,IF($B$2=$E$2,'02 정보2'!B121,IF($B$2=$F$2,'02 정보2'!B185,IF($B$2=$G$2,'02 정보2'!B249,"Error"))))</f>
        <v>56</v>
      </c>
      <c r="G107" s="62">
        <f>IF($B$2=$D$2,'02 정보2'!D57,IF($B$2=$E$2,'02 정보2'!D121,IF($B$2=$F$2,'02 정보2'!D185,IF($B$2=$G$2,'02 정보2'!D249,"Error"))))</f>
        <v>49.7</v>
      </c>
      <c r="H107" s="16">
        <f>IF($B$2=$D$2,'(검증1)이상치 검정'!$H$8, IF($B$2=$E$2,'(검증1)이상치 검정'!$H$9, IF($B$2=$F$2,'(검증1)이상치 검정'!$H$10, IF($B$2=$G$2,'(검증1)이상치 검정'!$H$11, "Error"))))</f>
        <v>50.087730413587778</v>
      </c>
      <c r="I107" s="16">
        <f>IF($B$2=$D$2,'(검증1)이상치 검정'!$I$8, IF($B$2=$E$2,'(검증1)이상치 검정'!$I$9, IF($B$2=$F$2,'(검증1)이상치 검정'!$I$10, IF($B$2=$G$2,'(검증1)이상치 검정'!$I$11, "Error"))))</f>
        <v>49.337269586412233</v>
      </c>
    </row>
    <row r="108" spans="1:9">
      <c r="A108" s="61">
        <f>IF($B$2=$D$2,'01 정보1'!B58,IF($B$2=$E$2,'01 정보1'!B144,IF($B$2=$F$2,'01 정보1'!B230,IF($B$2=$G$2,'01 정보1'!B316,"Error"))))</f>
        <v>57</v>
      </c>
      <c r="B108" s="62">
        <f>IF($B$2=$D$2,'01 정보1'!D58,IF($B$2=$E$2,'01 정보1'!D144,IF($B$2=$F$2,'01 정보1'!D230,IF($B$2=$G$2,'01 정보1'!D316,"Error"))))</f>
        <v>49.8</v>
      </c>
      <c r="C108" s="16">
        <f>IF($B$2=$D$2, '(검증1)이상치 검정'!$H$3, IF($B$2=$E$2, '(검증1)이상치 검정'!$H$4, IF($B$2=$F$2, '(검증1)이상치 검정'!$H$5, IF($B$2=$G$2, '(검증1)이상치 검정'!$H$6, "Error"))))</f>
        <v>50.471234172221415</v>
      </c>
      <c r="D108" s="16">
        <f>IF($B$2=$D$2, '(검증1)이상치 검정'!$I$3, IF($B$2=$E$2, '(검증1)이상치 검정'!$I$4, IF($B$2=$F$2, '(검증1)이상치 검정'!$I$5, IF($B$2=$G$2, '(검증1)이상치 검정'!$I$6, "Error"))))</f>
        <v>48.182254199871664</v>
      </c>
      <c r="F108" s="61">
        <f>IF($B$2=$D$2,'02 정보2'!B58,IF($B$2=$E$2,'02 정보2'!B122,IF($B$2=$F$2,'02 정보2'!B186,IF($B$2=$G$2,'02 정보2'!B250,"Error"))))</f>
        <v>57</v>
      </c>
      <c r="G108" s="62">
        <f>IF($B$2=$D$2,'02 정보2'!D58,IF($B$2=$E$2,'02 정보2'!D122,IF($B$2=$F$2,'02 정보2'!D186,IF($B$2=$G$2,'02 정보2'!D250,"Error"))))</f>
        <v>49.8</v>
      </c>
      <c r="H108" s="16">
        <f>IF($B$2=$D$2,'(검증1)이상치 검정'!$H$8, IF($B$2=$E$2,'(검증1)이상치 검정'!$H$9, IF($B$2=$F$2,'(검증1)이상치 검정'!$H$10, IF($B$2=$G$2,'(검증1)이상치 검정'!$H$11, "Error"))))</f>
        <v>50.087730413587778</v>
      </c>
      <c r="I108" s="16">
        <f>IF($B$2=$D$2,'(검증1)이상치 검정'!$I$8, IF($B$2=$E$2,'(검증1)이상치 검정'!$I$9, IF($B$2=$F$2,'(검증1)이상치 검정'!$I$10, IF($B$2=$G$2,'(검증1)이상치 검정'!$I$11, "Error"))))</f>
        <v>49.337269586412233</v>
      </c>
    </row>
    <row r="109" spans="1:9">
      <c r="A109" s="61">
        <f>IF($B$2=$D$2,'01 정보1'!B59,IF($B$2=$E$2,'01 정보1'!B145,IF($B$2=$F$2,'01 정보1'!B231,IF($B$2=$G$2,'01 정보1'!B317,"Error"))))</f>
        <v>58</v>
      </c>
      <c r="B109" s="62">
        <f>IF($B$2=$D$2,'01 정보1'!D59,IF($B$2=$E$2,'01 정보1'!D145,IF($B$2=$F$2,'01 정보1'!D231,IF($B$2=$G$2,'01 정보1'!D317,"Error"))))</f>
        <v>50.1</v>
      </c>
      <c r="C109" s="16">
        <f>IF($B$2=$D$2, '(검증1)이상치 검정'!$H$3, IF($B$2=$E$2, '(검증1)이상치 검정'!$H$4, IF($B$2=$F$2, '(검증1)이상치 검정'!$H$5, IF($B$2=$G$2, '(검증1)이상치 검정'!$H$6, "Error"))))</f>
        <v>50.471234172221415</v>
      </c>
      <c r="D109" s="16">
        <f>IF($B$2=$D$2, '(검증1)이상치 검정'!$I$3, IF($B$2=$E$2, '(검증1)이상치 검정'!$I$4, IF($B$2=$F$2, '(검증1)이상치 검정'!$I$5, IF($B$2=$G$2, '(검증1)이상치 검정'!$I$6, "Error"))))</f>
        <v>48.182254199871664</v>
      </c>
      <c r="F109" s="61">
        <f>IF($B$2=$D$2,'02 정보2'!B59,IF($B$2=$E$2,'02 정보2'!B123,IF($B$2=$F$2,'02 정보2'!B187,IF($B$2=$G$2,'02 정보2'!B251,"Error"))))</f>
        <v>58</v>
      </c>
      <c r="G109" s="62">
        <f>IF($B$2=$D$2,'02 정보2'!D59,IF($B$2=$E$2,'02 정보2'!D123,IF($B$2=$F$2,'02 정보2'!D187,IF($B$2=$G$2,'02 정보2'!D251,"Error"))))</f>
        <v>49.8</v>
      </c>
      <c r="H109" s="16">
        <f>IF($B$2=$D$2,'(검증1)이상치 검정'!$H$8, IF($B$2=$E$2,'(검증1)이상치 검정'!$H$9, IF($B$2=$F$2,'(검증1)이상치 검정'!$H$10, IF($B$2=$G$2,'(검증1)이상치 검정'!$H$11, "Error"))))</f>
        <v>50.087730413587778</v>
      </c>
      <c r="I109" s="16">
        <f>IF($B$2=$D$2,'(검증1)이상치 검정'!$I$8, IF($B$2=$E$2,'(검증1)이상치 검정'!$I$9, IF($B$2=$F$2,'(검증1)이상치 검정'!$I$10, IF($B$2=$G$2,'(검증1)이상치 검정'!$I$11, "Error"))))</f>
        <v>49.337269586412233</v>
      </c>
    </row>
    <row r="110" spans="1:9">
      <c r="A110" s="61">
        <f>IF($B$2=$D$2,'01 정보1'!B60,IF($B$2=$E$2,'01 정보1'!B146,IF($B$2=$F$2,'01 정보1'!B232,IF($B$2=$G$2,'01 정보1'!B318,"Error"))))</f>
        <v>59</v>
      </c>
      <c r="B110" s="62">
        <f>IF($B$2=$D$2,'01 정보1'!D60,IF($B$2=$E$2,'01 정보1'!D146,IF($B$2=$F$2,'01 정보1'!D232,IF($B$2=$G$2,'01 정보1'!D318,"Error"))))</f>
        <v>50</v>
      </c>
      <c r="C110" s="16">
        <f>IF($B$2=$D$2, '(검증1)이상치 검정'!$H$3, IF($B$2=$E$2, '(검증1)이상치 검정'!$H$4, IF($B$2=$F$2, '(검증1)이상치 검정'!$H$5, IF($B$2=$G$2, '(검증1)이상치 검정'!$H$6, "Error"))))</f>
        <v>50.471234172221415</v>
      </c>
      <c r="D110" s="16">
        <f>IF($B$2=$D$2, '(검증1)이상치 검정'!$I$3, IF($B$2=$E$2, '(검증1)이상치 검정'!$I$4, IF($B$2=$F$2, '(검증1)이상치 검정'!$I$5, IF($B$2=$G$2, '(검증1)이상치 검정'!$I$6, "Error"))))</f>
        <v>48.182254199871664</v>
      </c>
      <c r="F110" s="61">
        <f>IF($B$2=$D$2,'02 정보2'!B60,IF($B$2=$E$2,'02 정보2'!B124,IF($B$2=$F$2,'02 정보2'!B188,IF($B$2=$G$2,'02 정보2'!B252,"Error"))))</f>
        <v>59</v>
      </c>
      <c r="G110" s="62">
        <f>IF($B$2=$D$2,'02 정보2'!D60,IF($B$2=$E$2,'02 정보2'!D124,IF($B$2=$F$2,'02 정보2'!D188,IF($B$2=$G$2,'02 정보2'!D252,"Error"))))</f>
        <v>50</v>
      </c>
      <c r="H110" s="16">
        <f>IF($B$2=$D$2,'(검증1)이상치 검정'!$H$8, IF($B$2=$E$2,'(검증1)이상치 검정'!$H$9, IF($B$2=$F$2,'(검증1)이상치 검정'!$H$10, IF($B$2=$G$2,'(검증1)이상치 검정'!$H$11, "Error"))))</f>
        <v>50.087730413587778</v>
      </c>
      <c r="I110" s="16">
        <f>IF($B$2=$D$2,'(검증1)이상치 검정'!$I$8, IF($B$2=$E$2,'(검증1)이상치 검정'!$I$9, IF($B$2=$F$2,'(검증1)이상치 검정'!$I$10, IF($B$2=$G$2,'(검증1)이상치 검정'!$I$11, "Error"))))</f>
        <v>49.337269586412233</v>
      </c>
    </row>
    <row r="111" spans="1:9">
      <c r="A111" s="61">
        <f>IF($B$2=$D$2,'01 정보1'!B61,IF($B$2=$E$2,'01 정보1'!B147,IF($B$2=$F$2,'01 정보1'!B233,IF($B$2=$G$2,'01 정보1'!B319,"Error"))))</f>
        <v>60</v>
      </c>
      <c r="B111" s="62">
        <f>IF($B$2=$D$2,'01 정보1'!D61,IF($B$2=$E$2,'01 정보1'!D147,IF($B$2=$F$2,'01 정보1'!D233,IF($B$2=$G$2,'01 정보1'!D319,"Error"))))</f>
        <v>50.1</v>
      </c>
      <c r="C111" s="16">
        <f>IF($B$2=$D$2, '(검증1)이상치 검정'!$H$3, IF($B$2=$E$2, '(검증1)이상치 검정'!$H$4, IF($B$2=$F$2, '(검증1)이상치 검정'!$H$5, IF($B$2=$G$2, '(검증1)이상치 검정'!$H$6, "Error"))))</f>
        <v>50.471234172221415</v>
      </c>
      <c r="D111" s="16">
        <f>IF($B$2=$D$2, '(검증1)이상치 검정'!$I$3, IF($B$2=$E$2, '(검증1)이상치 검정'!$I$4, IF($B$2=$F$2, '(검증1)이상치 검정'!$I$5, IF($B$2=$G$2, '(검증1)이상치 검정'!$I$6, "Error"))))</f>
        <v>48.182254199871664</v>
      </c>
      <c r="F111" s="61">
        <f>IF($B$2=$D$2,'02 정보2'!B61,IF($B$2=$E$2,'02 정보2'!B125,IF($B$2=$F$2,'02 정보2'!B189,IF($B$2=$G$2,'02 정보2'!B253,"Error"))))</f>
        <v>60</v>
      </c>
      <c r="G111" s="62">
        <f>IF($B$2=$D$2,'02 정보2'!D61,IF($B$2=$E$2,'02 정보2'!D125,IF($B$2=$F$2,'02 정보2'!D189,IF($B$2=$G$2,'02 정보2'!D253,"Error"))))</f>
        <v>50.1</v>
      </c>
      <c r="H111" s="16">
        <f>IF($B$2=$D$2,'(검증1)이상치 검정'!$H$8, IF($B$2=$E$2,'(검증1)이상치 검정'!$H$9, IF($B$2=$F$2,'(검증1)이상치 검정'!$H$10, IF($B$2=$G$2,'(검증1)이상치 검정'!$H$11, "Error"))))</f>
        <v>50.087730413587778</v>
      </c>
      <c r="I111" s="16">
        <f>IF($B$2=$D$2,'(검증1)이상치 검정'!$I$8, IF($B$2=$E$2,'(검증1)이상치 검정'!$I$9, IF($B$2=$F$2,'(검증1)이상치 검정'!$I$10, IF($B$2=$G$2,'(검증1)이상치 검정'!$I$11, "Error"))))</f>
        <v>49.337269586412233</v>
      </c>
    </row>
    <row r="112" spans="1:9">
      <c r="A112" s="61">
        <f>IF($B$2=$D$2,'01 정보1'!B62,IF($B$2=$E$2,'01 정보1'!B148,IF($B$2=$F$2,'01 정보1'!B234,IF($B$2=$G$2,'01 정보1'!B320,"Error"))))</f>
        <v>61</v>
      </c>
      <c r="B112" s="62">
        <f>IF($B$2=$D$2,'01 정보1'!D62,IF($B$2=$E$2,'01 정보1'!D148,IF($B$2=$F$2,'01 정보1'!D234,IF($B$2=$G$2,'01 정보1'!D320,"Error"))))</f>
        <v>50.2</v>
      </c>
      <c r="C112" s="16">
        <f>IF($B$2=$D$2, '(검증1)이상치 검정'!$H$3, IF($B$2=$E$2, '(검증1)이상치 검정'!$H$4, IF($B$2=$F$2, '(검증1)이상치 검정'!$H$5, IF($B$2=$G$2, '(검증1)이상치 검정'!$H$6, "Error"))))</f>
        <v>50.471234172221415</v>
      </c>
      <c r="D112" s="16">
        <f>IF($B$2=$D$2, '(검증1)이상치 검정'!$I$3, IF($B$2=$E$2, '(검증1)이상치 검정'!$I$4, IF($B$2=$F$2, '(검증1)이상치 검정'!$I$5, IF($B$2=$G$2, '(검증1)이상치 검정'!$I$6, "Error"))))</f>
        <v>48.182254199871664</v>
      </c>
      <c r="F112" s="61">
        <f>IF($B$2=$D$2,'02 정보2'!B62,IF($B$2=$E$2,'02 정보2'!B126,IF($B$2=$F$2,'02 정보2'!B190,IF($B$2=$G$2,'02 정보2'!B254,"Error"))))</f>
        <v>61</v>
      </c>
      <c r="G112" s="62">
        <f>IF($B$2=$D$2,'02 정보2'!D62,IF($B$2=$E$2,'02 정보2'!D126,IF($B$2=$F$2,'02 정보2'!D190,IF($B$2=$G$2,'02 정보2'!D254,"Error"))))</f>
        <v>50</v>
      </c>
      <c r="H112" s="16">
        <f>IF($B$2=$D$2,'(검증1)이상치 검정'!$H$8, IF($B$2=$E$2,'(검증1)이상치 검정'!$H$9, IF($B$2=$F$2,'(검증1)이상치 검정'!$H$10, IF($B$2=$G$2,'(검증1)이상치 검정'!$H$11, "Error"))))</f>
        <v>50.087730413587778</v>
      </c>
      <c r="I112" s="16">
        <f>IF($B$2=$D$2,'(검증1)이상치 검정'!$I$8, IF($B$2=$E$2,'(검증1)이상치 검정'!$I$9, IF($B$2=$F$2,'(검증1)이상치 검정'!$I$10, IF($B$2=$G$2,'(검증1)이상치 검정'!$I$11, "Error"))))</f>
        <v>49.337269586412233</v>
      </c>
    </row>
    <row r="113" spans="1:9">
      <c r="A113" s="61">
        <f>IF($B$2=$D$2,'01 정보1'!B63,IF($B$2=$E$2,'01 정보1'!B149,IF($B$2=$F$2,'01 정보1'!B235,IF($B$2=$G$2,'01 정보1'!B321,"Error"))))</f>
        <v>62</v>
      </c>
      <c r="B113" s="62">
        <f>IF($B$2=$D$2,'01 정보1'!D63,IF($B$2=$E$2,'01 정보1'!D149,IF($B$2=$F$2,'01 정보1'!D235,IF($B$2=$G$2,'01 정보1'!D321,"Error"))))</f>
        <v>50.3</v>
      </c>
      <c r="C113" s="16">
        <f>IF($B$2=$D$2, '(검증1)이상치 검정'!$H$3, IF($B$2=$E$2, '(검증1)이상치 검정'!$H$4, IF($B$2=$F$2, '(검증1)이상치 검정'!$H$5, IF($B$2=$G$2, '(검증1)이상치 검정'!$H$6, "Error"))))</f>
        <v>50.471234172221415</v>
      </c>
      <c r="D113" s="16">
        <f>IF($B$2=$D$2, '(검증1)이상치 검정'!$I$3, IF($B$2=$E$2, '(검증1)이상치 검정'!$I$4, IF($B$2=$F$2, '(검증1)이상치 검정'!$I$5, IF($B$2=$G$2, '(검증1)이상치 검정'!$I$6, "Error"))))</f>
        <v>48.182254199871664</v>
      </c>
      <c r="F113" s="61">
        <f>IF($B$2=$D$2,'02 정보2'!B63,IF($B$2=$E$2,'02 정보2'!B127,IF($B$2=$F$2,'02 정보2'!B191,IF($B$2=$G$2,'02 정보2'!B255,"Error"))))</f>
        <v>62</v>
      </c>
      <c r="G113" s="62">
        <f>IF($B$2=$D$2,'02 정보2'!D63,IF($B$2=$E$2,'02 정보2'!D127,IF($B$2=$F$2,'02 정보2'!D191,IF($B$2=$G$2,'02 정보2'!D255,"Error"))))</f>
        <v>50</v>
      </c>
      <c r="H113" s="16">
        <f>IF($B$2=$D$2,'(검증1)이상치 검정'!$H$8, IF($B$2=$E$2,'(검증1)이상치 검정'!$H$9, IF($B$2=$F$2,'(검증1)이상치 검정'!$H$10, IF($B$2=$G$2,'(검증1)이상치 검정'!$H$11, "Error"))))</f>
        <v>50.087730413587778</v>
      </c>
      <c r="I113" s="16">
        <f>IF($B$2=$D$2,'(검증1)이상치 검정'!$I$8, IF($B$2=$E$2,'(검증1)이상치 검정'!$I$9, IF($B$2=$F$2,'(검증1)이상치 검정'!$I$10, IF($B$2=$G$2,'(검증1)이상치 검정'!$I$11, "Error"))))</f>
        <v>49.337269586412233</v>
      </c>
    </row>
    <row r="114" spans="1:9">
      <c r="A114" s="61">
        <f>IF($B$2=$D$2,'01 정보1'!B64,IF($B$2=$E$2,'01 정보1'!B150,IF($B$2=$F$2,'01 정보1'!B236,IF($B$2=$G$2,'01 정보1'!B322,"Error"))))</f>
        <v>63</v>
      </c>
      <c r="B114" s="62">
        <f>IF($B$2=$D$2,'01 정보1'!D64,IF($B$2=$E$2,'01 정보1'!D150,IF($B$2=$F$2,'01 정보1'!D236,IF($B$2=$G$2,'01 정보1'!D322,"Error"))))</f>
        <v>49.7</v>
      </c>
      <c r="C114" s="16">
        <f>IF($B$2=$D$2, '(검증1)이상치 검정'!$H$3, IF($B$2=$E$2, '(검증1)이상치 검정'!$H$4, IF($B$2=$F$2, '(검증1)이상치 검정'!$H$5, IF($B$2=$G$2, '(검증1)이상치 검정'!$H$6, "Error"))))</f>
        <v>50.471234172221415</v>
      </c>
      <c r="D114" s="16">
        <f>IF($B$2=$D$2, '(검증1)이상치 검정'!$I$3, IF($B$2=$E$2, '(검증1)이상치 검정'!$I$4, IF($B$2=$F$2, '(검증1)이상치 검정'!$I$5, IF($B$2=$G$2, '(검증1)이상치 검정'!$I$6, "Error"))))</f>
        <v>48.182254199871664</v>
      </c>
      <c r="F114" s="61">
        <f>IF($B$2=$D$2,'02 정보2'!B64,IF($B$2=$E$2,'02 정보2'!B128,IF($B$2=$F$2,'02 정보2'!B192,IF($B$2=$G$2,'02 정보2'!B256,"Error"))))</f>
        <v>63</v>
      </c>
      <c r="G114" s="62">
        <f>IF($B$2=$D$2,'02 정보2'!D64,IF($B$2=$E$2,'02 정보2'!D128,IF($B$2=$F$2,'02 정보2'!D192,IF($B$2=$G$2,'02 정보2'!D256,"Error"))))</f>
        <v>49.9</v>
      </c>
      <c r="H114" s="16">
        <f>IF($B$2=$D$2,'(검증1)이상치 검정'!$H$8, IF($B$2=$E$2,'(검증1)이상치 검정'!$H$9, IF($B$2=$F$2,'(검증1)이상치 검정'!$H$10, IF($B$2=$G$2,'(검증1)이상치 검정'!$H$11, "Error"))))</f>
        <v>50.087730413587778</v>
      </c>
      <c r="I114" s="16">
        <f>IF($B$2=$D$2,'(검증1)이상치 검정'!$I$8, IF($B$2=$E$2,'(검증1)이상치 검정'!$I$9, IF($B$2=$F$2,'(검증1)이상치 검정'!$I$10, IF($B$2=$G$2,'(검증1)이상치 검정'!$I$11, "Error"))))</f>
        <v>49.337269586412233</v>
      </c>
    </row>
    <row r="115" spans="1:9">
      <c r="A115" s="61">
        <f>IF($B$2=$D$2,'01 정보1'!B65,IF($B$2=$E$2,'01 정보1'!B151,IF($B$2=$F$2,'01 정보1'!B237,IF($B$2=$G$2,'01 정보1'!B323,"Error"))))</f>
        <v>64</v>
      </c>
      <c r="B115" s="62">
        <f>IF($B$2=$D$2,'01 정보1'!D65,IF($B$2=$E$2,'01 정보1'!D151,IF($B$2=$F$2,'01 정보1'!D237,IF($B$2=$G$2,'01 정보1'!D323,"Error"))))</f>
        <v>49.9</v>
      </c>
      <c r="C115" s="16">
        <f>IF($B$2=$D$2, '(검증1)이상치 검정'!$H$3, IF($B$2=$E$2, '(검증1)이상치 검정'!$H$4, IF($B$2=$F$2, '(검증1)이상치 검정'!$H$5, IF($B$2=$G$2, '(검증1)이상치 검정'!$H$6, "Error"))))</f>
        <v>50.471234172221415</v>
      </c>
      <c r="D115" s="16">
        <f>IF($B$2=$D$2, '(검증1)이상치 검정'!$I$3, IF($B$2=$E$2, '(검증1)이상치 검정'!$I$4, IF($B$2=$F$2, '(검증1)이상치 검정'!$I$5, IF($B$2=$G$2, '(검증1)이상치 검정'!$I$6, "Error"))))</f>
        <v>48.182254199871664</v>
      </c>
      <c r="F115" s="61">
        <f>IF($B$2=$D$2,'02 정보2'!B65,IF($B$2=$E$2,'02 정보2'!B129,IF($B$2=$F$2,'02 정보2'!B193,IF($B$2=$G$2,'02 정보2'!B257,"Error"))))</f>
        <v>64</v>
      </c>
      <c r="G115" s="62">
        <f>IF($B$2=$D$2,'02 정보2'!D65,IF($B$2=$E$2,'02 정보2'!D129,IF($B$2=$F$2,'02 정보2'!D193,IF($B$2=$G$2,'02 정보2'!D257,"Error"))))</f>
        <v>50.1</v>
      </c>
      <c r="H115" s="16">
        <f>IF($B$2=$D$2,'(검증1)이상치 검정'!$H$8, IF($B$2=$E$2,'(검증1)이상치 검정'!$H$9, IF($B$2=$F$2,'(검증1)이상치 검정'!$H$10, IF($B$2=$G$2,'(검증1)이상치 검정'!$H$11, "Error"))))</f>
        <v>50.087730413587778</v>
      </c>
      <c r="I115" s="16">
        <f>IF($B$2=$D$2,'(검증1)이상치 검정'!$I$8, IF($B$2=$E$2,'(검증1)이상치 검정'!$I$9, IF($B$2=$F$2,'(검증1)이상치 검정'!$I$10, IF($B$2=$G$2,'(검증1)이상치 검정'!$I$11, "Error"))))</f>
        <v>49.337269586412233</v>
      </c>
    </row>
    <row r="116" spans="1:9">
      <c r="A116" s="61">
        <f>IF($B$2=$D$2,'01 정보1'!B66,IF($B$2=$E$2,'01 정보1'!B152,IF($B$2=$F$2,'01 정보1'!B238,IF($B$2=$G$2,'01 정보1'!B324,"Error"))))</f>
        <v>65</v>
      </c>
      <c r="B116" s="62">
        <f>IF($B$2=$D$2,'01 정보1'!D66,IF($B$2=$E$2,'01 정보1'!D152,IF($B$2=$F$2,'01 정보1'!D238,IF($B$2=$G$2,'01 정보1'!D324,"Error"))))</f>
        <v>50</v>
      </c>
      <c r="C116" s="16">
        <f>IF($B$2=$D$2, '(검증1)이상치 검정'!$H$3, IF($B$2=$E$2, '(검증1)이상치 검정'!$H$4, IF($B$2=$F$2, '(검증1)이상치 검정'!$H$5, IF($B$2=$G$2, '(검증1)이상치 검정'!$H$6, "Error"))))</f>
        <v>50.471234172221415</v>
      </c>
      <c r="D116" s="16">
        <f>IF($B$2=$D$2, '(검증1)이상치 검정'!$I$3, IF($B$2=$E$2, '(검증1)이상치 검정'!$I$4, IF($B$2=$F$2, '(검증1)이상치 검정'!$I$5, IF($B$2=$G$2, '(검증1)이상치 검정'!$I$6, "Error"))))</f>
        <v>48.182254199871664</v>
      </c>
      <c r="F116" s="61"/>
      <c r="G116" s="62"/>
      <c r="H116" s="16"/>
      <c r="I116" s="16"/>
    </row>
    <row r="117" spans="1:9">
      <c r="A117" s="61">
        <f>IF($B$2=$D$2,'01 정보1'!B67,IF($B$2=$E$2,'01 정보1'!B153,IF($B$2=$F$2,'01 정보1'!B239,IF($B$2=$G$2,'01 정보1'!B325,"Error"))))</f>
        <v>66</v>
      </c>
      <c r="B117" s="62">
        <f>IF($B$2=$D$2,'01 정보1'!D67,IF($B$2=$E$2,'01 정보1'!D153,IF($B$2=$F$2,'01 정보1'!D239,IF($B$2=$G$2,'01 정보1'!D325,"Error"))))</f>
        <v>50</v>
      </c>
      <c r="C117" s="16">
        <f>IF($B$2=$D$2, '(검증1)이상치 검정'!$H$3, IF($B$2=$E$2, '(검증1)이상치 검정'!$H$4, IF($B$2=$F$2, '(검증1)이상치 검정'!$H$5, IF($B$2=$G$2, '(검증1)이상치 검정'!$H$6, "Error"))))</f>
        <v>50.471234172221415</v>
      </c>
      <c r="D117" s="16">
        <f>IF($B$2=$D$2, '(검증1)이상치 검정'!$I$3, IF($B$2=$E$2, '(검증1)이상치 검정'!$I$4, IF($B$2=$F$2, '(검증1)이상치 검정'!$I$5, IF($B$2=$G$2, '(검증1)이상치 검정'!$I$6, "Error"))))</f>
        <v>48.182254199871664</v>
      </c>
      <c r="F117" s="61"/>
      <c r="G117" s="62"/>
      <c r="H117" s="16"/>
      <c r="I117" s="16"/>
    </row>
    <row r="118" spans="1:9">
      <c r="A118" s="61">
        <f>IF($B$2=$D$2,'01 정보1'!B68,IF($B$2=$E$2,'01 정보1'!B154,IF($B$2=$F$2,'01 정보1'!B240,IF($B$2=$G$2,'01 정보1'!B326,"Error"))))</f>
        <v>67</v>
      </c>
      <c r="B118" s="62">
        <f>IF($B$2=$D$2,'01 정보1'!D68,IF($B$2=$E$2,'01 정보1'!D154,IF($B$2=$F$2,'01 정보1'!D240,IF($B$2=$G$2,'01 정보1'!D326,"Error"))))</f>
        <v>50.3</v>
      </c>
      <c r="C118" s="16">
        <f>IF($B$2=$D$2, '(검증1)이상치 검정'!$H$3, IF($B$2=$E$2, '(검증1)이상치 검정'!$H$4, IF($B$2=$F$2, '(검증1)이상치 검정'!$H$5, IF($B$2=$G$2, '(검증1)이상치 검정'!$H$6, "Error"))))</f>
        <v>50.471234172221415</v>
      </c>
      <c r="D118" s="16">
        <f>IF($B$2=$D$2, '(검증1)이상치 검정'!$I$3, IF($B$2=$E$2, '(검증1)이상치 검정'!$I$4, IF($B$2=$F$2, '(검증1)이상치 검정'!$I$5, IF($B$2=$G$2, '(검증1)이상치 검정'!$I$6, "Error"))))</f>
        <v>48.182254199871664</v>
      </c>
      <c r="F118" s="61"/>
      <c r="G118" s="62"/>
      <c r="H118" s="16"/>
      <c r="I118" s="16"/>
    </row>
    <row r="119" spans="1:9">
      <c r="A119" s="61">
        <f>IF($B$2=$D$2,'01 정보1'!B69,IF($B$2=$E$2,'01 정보1'!B155,IF($B$2=$F$2,'01 정보1'!B241,IF($B$2=$G$2,'01 정보1'!B327,"Error"))))</f>
        <v>68</v>
      </c>
      <c r="B119" s="62">
        <f>IF($B$2=$D$2,'01 정보1'!D69,IF($B$2=$E$2,'01 정보1'!D155,IF($B$2=$F$2,'01 정보1'!D241,IF($B$2=$G$2,'01 정보1'!D327,"Error"))))</f>
        <v>50.4</v>
      </c>
      <c r="C119" s="16">
        <f>IF($B$2=$D$2, '(검증1)이상치 검정'!$H$3, IF($B$2=$E$2, '(검증1)이상치 검정'!$H$4, IF($B$2=$F$2, '(검증1)이상치 검정'!$H$5, IF($B$2=$G$2, '(검증1)이상치 검정'!$H$6, "Error"))))</f>
        <v>50.471234172221415</v>
      </c>
      <c r="D119" s="16">
        <f>IF($B$2=$D$2, '(검증1)이상치 검정'!$I$3, IF($B$2=$E$2, '(검증1)이상치 검정'!$I$4, IF($B$2=$F$2, '(검증1)이상치 검정'!$I$5, IF($B$2=$G$2, '(검증1)이상치 검정'!$I$6, "Error"))))</f>
        <v>48.182254199871664</v>
      </c>
      <c r="F119" s="61"/>
      <c r="G119" s="62"/>
      <c r="H119" s="16"/>
      <c r="I119" s="16"/>
    </row>
    <row r="120" spans="1:9">
      <c r="A120" s="61">
        <f>IF($B$2=$D$2,'01 정보1'!B70,IF($B$2=$E$2,'01 정보1'!B156,IF($B$2=$F$2,'01 정보1'!B242,IF($B$2=$G$2,'01 정보1'!B328,"Error"))))</f>
        <v>69</v>
      </c>
      <c r="B120" s="62">
        <f>IF($B$2=$D$2,'01 정보1'!D70,IF($B$2=$E$2,'01 정보1'!D156,IF($B$2=$F$2,'01 정보1'!D242,IF($B$2=$G$2,'01 정보1'!D328,"Error"))))</f>
        <v>50.3</v>
      </c>
      <c r="C120" s="16">
        <f>IF($B$2=$D$2, '(검증1)이상치 검정'!$H$3, IF($B$2=$E$2, '(검증1)이상치 검정'!$H$4, IF($B$2=$F$2, '(검증1)이상치 검정'!$H$5, IF($B$2=$G$2, '(검증1)이상치 검정'!$H$6, "Error"))))</f>
        <v>50.471234172221415</v>
      </c>
      <c r="D120" s="16">
        <f>IF($B$2=$D$2, '(검증1)이상치 검정'!$I$3, IF($B$2=$E$2, '(검증1)이상치 검정'!$I$4, IF($B$2=$F$2, '(검증1)이상치 검정'!$I$5, IF($B$2=$G$2, '(검증1)이상치 검정'!$I$6, "Error"))))</f>
        <v>48.182254199871664</v>
      </c>
      <c r="F120" s="61"/>
      <c r="G120" s="62"/>
      <c r="H120" s="16"/>
      <c r="I120" s="16"/>
    </row>
    <row r="121" spans="1:9">
      <c r="A121" s="61">
        <f>IF($B$2=$D$2,'01 정보1'!B71,IF($B$2=$E$2,'01 정보1'!B157,IF($B$2=$F$2,'01 정보1'!B243,IF($B$2=$G$2,'01 정보1'!B329,"Error"))))</f>
        <v>70</v>
      </c>
      <c r="B121" s="62">
        <f>IF($B$2=$D$2,'01 정보1'!D71,IF($B$2=$E$2,'01 정보1'!D157,IF($B$2=$F$2,'01 정보1'!D243,IF($B$2=$G$2,'01 정보1'!D329,"Error"))))</f>
        <v>50.3</v>
      </c>
      <c r="C121" s="16">
        <f>IF($B$2=$D$2, '(검증1)이상치 검정'!$H$3, IF($B$2=$E$2, '(검증1)이상치 검정'!$H$4, IF($B$2=$F$2, '(검증1)이상치 검정'!$H$5, IF($B$2=$G$2, '(검증1)이상치 검정'!$H$6, "Error"))))</f>
        <v>50.471234172221415</v>
      </c>
      <c r="D121" s="16">
        <f>IF($B$2=$D$2, '(검증1)이상치 검정'!$I$3, IF($B$2=$E$2, '(검증1)이상치 검정'!$I$4, IF($B$2=$F$2, '(검증1)이상치 검정'!$I$5, IF($B$2=$G$2, '(검증1)이상치 검정'!$I$6, "Error"))))</f>
        <v>48.182254199871664</v>
      </c>
      <c r="F121" s="61"/>
      <c r="G121" s="62"/>
      <c r="H121" s="16"/>
      <c r="I121" s="16"/>
    </row>
    <row r="122" spans="1:9">
      <c r="A122" s="61">
        <f>IF($B$2=$D$2,'01 정보1'!B72,IF($B$2=$E$2,'01 정보1'!B158,IF($B$2=$F$2,'01 정보1'!B244,IF($B$2=$G$2,'01 정보1'!B330,"Error"))))</f>
        <v>71</v>
      </c>
      <c r="B122" s="62">
        <f>IF($B$2=$D$2,'01 정보1'!D72,IF($B$2=$E$2,'01 정보1'!D158,IF($B$2=$F$2,'01 정보1'!D244,IF($B$2=$G$2,'01 정보1'!D330,"Error"))))</f>
        <v>50.3</v>
      </c>
      <c r="C122" s="16">
        <f>IF($B$2=$D$2, '(검증1)이상치 검정'!$H$3, IF($B$2=$E$2, '(검증1)이상치 검정'!$H$4, IF($B$2=$F$2, '(검증1)이상치 검정'!$H$5, IF($B$2=$G$2, '(검증1)이상치 검정'!$H$6, "Error"))))</f>
        <v>50.471234172221415</v>
      </c>
      <c r="D122" s="16">
        <f>IF($B$2=$D$2, '(검증1)이상치 검정'!$I$3, IF($B$2=$E$2, '(검증1)이상치 검정'!$I$4, IF($B$2=$F$2, '(검증1)이상치 검정'!$I$5, IF($B$2=$G$2, '(검증1)이상치 검정'!$I$6, "Error"))))</f>
        <v>48.182254199871664</v>
      </c>
      <c r="F122" s="61"/>
      <c r="G122" s="62"/>
      <c r="H122" s="16"/>
      <c r="I122" s="16"/>
    </row>
    <row r="123" spans="1:9">
      <c r="A123" s="61">
        <f>IF($B$2=$D$2,'01 정보1'!B73,IF($B$2=$E$2,'01 정보1'!B159,IF($B$2=$F$2,'01 정보1'!B245,IF($B$2=$G$2,'01 정보1'!B331,"Error"))))</f>
        <v>72</v>
      </c>
      <c r="B123" s="62">
        <f>IF($B$2=$D$2,'01 정보1'!D73,IF($B$2=$E$2,'01 정보1'!D159,IF($B$2=$F$2,'01 정보1'!D245,IF($B$2=$G$2,'01 정보1'!D331,"Error"))))</f>
        <v>50.4</v>
      </c>
      <c r="C123" s="16">
        <f>IF($B$2=$D$2, '(검증1)이상치 검정'!$H$3, IF($B$2=$E$2, '(검증1)이상치 검정'!$H$4, IF($B$2=$F$2, '(검증1)이상치 검정'!$H$5, IF($B$2=$G$2, '(검증1)이상치 검정'!$H$6, "Error"))))</f>
        <v>50.471234172221415</v>
      </c>
      <c r="D123" s="16">
        <f>IF($B$2=$D$2, '(검증1)이상치 검정'!$I$3, IF($B$2=$E$2, '(검증1)이상치 검정'!$I$4, IF($B$2=$F$2, '(검증1)이상치 검정'!$I$5, IF($B$2=$G$2, '(검증1)이상치 검정'!$I$6, "Error"))))</f>
        <v>48.182254199871664</v>
      </c>
      <c r="F123" s="61"/>
      <c r="G123" s="62"/>
      <c r="H123" s="16"/>
      <c r="I123" s="16"/>
    </row>
    <row r="124" spans="1:9">
      <c r="A124" s="61">
        <f>IF($B$2=$D$2,'01 정보1'!B74,IF($B$2=$E$2,'01 정보1'!B160,IF($B$2=$F$2,'01 정보1'!B246,IF($B$2=$G$2,'01 정보1'!B332,"Error"))))</f>
        <v>73</v>
      </c>
      <c r="B124" s="62">
        <f>IF($B$2=$D$2,'01 정보1'!D74,IF($B$2=$E$2,'01 정보1'!D160,IF($B$2=$F$2,'01 정보1'!D246,IF($B$2=$G$2,'01 정보1'!D332,"Error"))))</f>
        <v>50.3</v>
      </c>
      <c r="C124" s="16">
        <f>IF($B$2=$D$2, '(검증1)이상치 검정'!$H$3, IF($B$2=$E$2, '(검증1)이상치 검정'!$H$4, IF($B$2=$F$2, '(검증1)이상치 검정'!$H$5, IF($B$2=$G$2, '(검증1)이상치 검정'!$H$6, "Error"))))</f>
        <v>50.471234172221415</v>
      </c>
      <c r="D124" s="16">
        <f>IF($B$2=$D$2, '(검증1)이상치 검정'!$I$3, IF($B$2=$E$2, '(검증1)이상치 검정'!$I$4, IF($B$2=$F$2, '(검증1)이상치 검정'!$I$5, IF($B$2=$G$2, '(검증1)이상치 검정'!$I$6, "Error"))))</f>
        <v>48.182254199871664</v>
      </c>
      <c r="F124" s="61"/>
      <c r="G124" s="62"/>
      <c r="H124" s="16"/>
      <c r="I124" s="16"/>
    </row>
    <row r="125" spans="1:9">
      <c r="A125" s="61">
        <f>IF($B$2=$D$2,'01 정보1'!B75,IF($B$2=$E$2,'01 정보1'!B161,IF($B$2=$F$2,'01 정보1'!B247,IF($B$2=$G$2,'01 정보1'!B333,"Error"))))</f>
        <v>74</v>
      </c>
      <c r="B125" s="62">
        <f>IF($B$2=$D$2,'01 정보1'!D75,IF($B$2=$E$2,'01 정보1'!D161,IF($B$2=$F$2,'01 정보1'!D247,IF($B$2=$G$2,'01 정보1'!D333,"Error"))))</f>
        <v>50.2</v>
      </c>
      <c r="C125" s="16">
        <f>IF($B$2=$D$2, '(검증1)이상치 검정'!$H$3, IF($B$2=$E$2, '(검증1)이상치 검정'!$H$4, IF($B$2=$F$2, '(검증1)이상치 검정'!$H$5, IF($B$2=$G$2, '(검증1)이상치 검정'!$H$6, "Error"))))</f>
        <v>50.471234172221415</v>
      </c>
      <c r="D125" s="16">
        <f>IF($B$2=$D$2, '(검증1)이상치 검정'!$I$3, IF($B$2=$E$2, '(검증1)이상치 검정'!$I$4, IF($B$2=$F$2, '(검증1)이상치 검정'!$I$5, IF($B$2=$G$2, '(검증1)이상치 검정'!$I$6, "Error"))))</f>
        <v>48.182254199871664</v>
      </c>
    </row>
    <row r="126" spans="1:9">
      <c r="A126" s="61">
        <f>IF($B$2=$D$2,'01 정보1'!B76,IF($B$2=$E$2,'01 정보1'!B162,IF($B$2=$F$2,'01 정보1'!B248,IF($B$2=$G$2,'01 정보1'!B334,"Error"))))</f>
        <v>75</v>
      </c>
      <c r="B126" s="62">
        <f>IF($B$2=$D$2,'01 정보1'!D76,IF($B$2=$E$2,'01 정보1'!D162,IF($B$2=$F$2,'01 정보1'!D248,IF($B$2=$G$2,'01 정보1'!D334,"Error"))))</f>
        <v>50.3</v>
      </c>
      <c r="C126" s="16">
        <f>IF($B$2=$D$2, '(검증1)이상치 검정'!$H$3, IF($B$2=$E$2, '(검증1)이상치 검정'!$H$4, IF($B$2=$F$2, '(검증1)이상치 검정'!$H$5, IF($B$2=$G$2, '(검증1)이상치 검정'!$H$6, "Error"))))</f>
        <v>50.471234172221415</v>
      </c>
      <c r="D126" s="16">
        <f>IF($B$2=$D$2, '(검증1)이상치 검정'!$I$3, IF($B$2=$E$2, '(검증1)이상치 검정'!$I$4, IF($B$2=$F$2, '(검증1)이상치 검정'!$I$5, IF($B$2=$G$2, '(검증1)이상치 검정'!$I$6, "Error"))))</f>
        <v>48.182254199871664</v>
      </c>
    </row>
    <row r="127" spans="1:9">
      <c r="A127" s="61">
        <f>IF($B$2=$D$2,'01 정보1'!B77,IF($B$2=$E$2,'01 정보1'!B163,IF($B$2=$F$2,'01 정보1'!B249,IF($B$2=$G$2,'01 정보1'!B335,"Error"))))</f>
        <v>76</v>
      </c>
      <c r="B127" s="62">
        <f>IF($B$2=$D$2,'01 정보1'!D77,IF($B$2=$E$2,'01 정보1'!D163,IF($B$2=$F$2,'01 정보1'!D249,IF($B$2=$G$2,'01 정보1'!D335,"Error"))))</f>
        <v>50.1</v>
      </c>
      <c r="C127" s="16">
        <f>IF($B$2=$D$2, '(검증1)이상치 검정'!$H$3, IF($B$2=$E$2, '(검증1)이상치 검정'!$H$4, IF($B$2=$F$2, '(검증1)이상치 검정'!$H$5, IF($B$2=$G$2, '(검증1)이상치 검정'!$H$6, "Error"))))</f>
        <v>50.471234172221415</v>
      </c>
      <c r="D127" s="16">
        <f>IF($B$2=$D$2, '(검증1)이상치 검정'!$I$3, IF($B$2=$E$2, '(검증1)이상치 검정'!$I$4, IF($B$2=$F$2, '(검증1)이상치 검정'!$I$5, IF($B$2=$G$2, '(검증1)이상치 검정'!$I$6, "Error"))))</f>
        <v>48.182254199871664</v>
      </c>
    </row>
    <row r="128" spans="1:9">
      <c r="A128" s="61">
        <f>IF($B$2=$D$2,'01 정보1'!B78,IF($B$2=$E$2,'01 정보1'!B164,IF($B$2=$F$2,'01 정보1'!B250,IF($B$2=$G$2,'01 정보1'!B336,"Error"))))</f>
        <v>77</v>
      </c>
      <c r="B128" s="62">
        <f>IF($B$2=$D$2,'01 정보1'!D78,IF($B$2=$E$2,'01 정보1'!D164,IF($B$2=$F$2,'01 정보1'!D250,IF($B$2=$G$2,'01 정보1'!D336,"Error"))))</f>
        <v>49.9</v>
      </c>
      <c r="C128" s="16">
        <f>IF($B$2=$D$2, '(검증1)이상치 검정'!$H$3, IF($B$2=$E$2, '(검증1)이상치 검정'!$H$4, IF($B$2=$F$2, '(검증1)이상치 검정'!$H$5, IF($B$2=$G$2, '(검증1)이상치 검정'!$H$6, "Error"))))</f>
        <v>50.471234172221415</v>
      </c>
      <c r="D128" s="16">
        <f>IF($B$2=$D$2, '(검증1)이상치 검정'!$I$3, IF($B$2=$E$2, '(검증1)이상치 검정'!$I$4, IF($B$2=$F$2, '(검증1)이상치 검정'!$I$5, IF($B$2=$G$2, '(검증1)이상치 검정'!$I$6, "Error"))))</f>
        <v>48.182254199871664</v>
      </c>
    </row>
    <row r="129" spans="1:4">
      <c r="A129" s="61">
        <f>IF($B$2=$D$2,'01 정보1'!B79,IF($B$2=$E$2,'01 정보1'!B165,IF($B$2=$F$2,'01 정보1'!B251,IF($B$2=$G$2,'01 정보1'!B337,"Error"))))</f>
        <v>78</v>
      </c>
      <c r="B129" s="62">
        <f>IF($B$2=$D$2,'01 정보1'!D79,IF($B$2=$E$2,'01 정보1'!D165,IF($B$2=$F$2,'01 정보1'!D251,IF($B$2=$G$2,'01 정보1'!D337,"Error"))))</f>
        <v>49.9</v>
      </c>
      <c r="C129" s="16">
        <f>IF($B$2=$D$2, '(검증1)이상치 검정'!$H$3, IF($B$2=$E$2, '(검증1)이상치 검정'!$H$4, IF($B$2=$F$2, '(검증1)이상치 검정'!$H$5, IF($B$2=$G$2, '(검증1)이상치 검정'!$H$6, "Error"))))</f>
        <v>50.471234172221415</v>
      </c>
      <c r="D129" s="16">
        <f>IF($B$2=$D$2, '(검증1)이상치 검정'!$I$3, IF($B$2=$E$2, '(검증1)이상치 검정'!$I$4, IF($B$2=$F$2, '(검증1)이상치 검정'!$I$5, IF($B$2=$G$2, '(검증1)이상치 검정'!$I$6, "Error"))))</f>
        <v>48.182254199871664</v>
      </c>
    </row>
    <row r="130" spans="1:4">
      <c r="A130" s="61">
        <f>IF($B$2=$D$2,'01 정보1'!B80,IF($B$2=$E$2,'01 정보1'!B166,IF($B$2=$F$2,'01 정보1'!B252,IF($B$2=$G$2,'01 정보1'!B338,"Error"))))</f>
        <v>79</v>
      </c>
      <c r="B130" s="62">
        <f>IF($B$2=$D$2,'01 정보1'!D80,IF($B$2=$E$2,'01 정보1'!D166,IF($B$2=$F$2,'01 정보1'!D252,IF($B$2=$G$2,'01 정보1'!D338,"Error"))))</f>
        <v>49.9</v>
      </c>
      <c r="C130" s="16">
        <f>IF($B$2=$D$2, '(검증1)이상치 검정'!$H$3, IF($B$2=$E$2, '(검증1)이상치 검정'!$H$4, IF($B$2=$F$2, '(검증1)이상치 검정'!$H$5, IF($B$2=$G$2, '(검증1)이상치 검정'!$H$6, "Error"))))</f>
        <v>50.471234172221415</v>
      </c>
      <c r="D130" s="16">
        <f>IF($B$2=$D$2, '(검증1)이상치 검정'!$I$3, IF($B$2=$E$2, '(검증1)이상치 검정'!$I$4, IF($B$2=$F$2, '(검증1)이상치 검정'!$I$5, IF($B$2=$G$2, '(검증1)이상치 검정'!$I$6, "Error"))))</f>
        <v>48.182254199871664</v>
      </c>
    </row>
    <row r="131" spans="1:4">
      <c r="A131" s="61">
        <f>IF($B$2=$D$2,'01 정보1'!B81,IF($B$2=$E$2,'01 정보1'!B167,IF($B$2=$F$2,'01 정보1'!B253,IF($B$2=$G$2,'01 정보1'!B339,"Error"))))</f>
        <v>80</v>
      </c>
      <c r="B131" s="62">
        <f>IF($B$2=$D$2,'01 정보1'!D81,IF($B$2=$E$2,'01 정보1'!D167,IF($B$2=$F$2,'01 정보1'!D253,IF($B$2=$G$2,'01 정보1'!D339,"Error"))))</f>
        <v>50.1</v>
      </c>
      <c r="C131" s="16">
        <f>IF($B$2=$D$2, '(검증1)이상치 검정'!$H$3, IF($B$2=$E$2, '(검증1)이상치 검정'!$H$4, IF($B$2=$F$2, '(검증1)이상치 검정'!$H$5, IF($B$2=$G$2, '(검증1)이상치 검정'!$H$6, "Error"))))</f>
        <v>50.471234172221415</v>
      </c>
      <c r="D131" s="16">
        <f>IF($B$2=$D$2, '(검증1)이상치 검정'!$I$3, IF($B$2=$E$2, '(검증1)이상치 검정'!$I$4, IF($B$2=$F$2, '(검증1)이상치 검정'!$I$5, IF($B$2=$G$2, '(검증1)이상치 검정'!$I$6, "Error"))))</f>
        <v>48.182254199871664</v>
      </c>
    </row>
    <row r="132" spans="1:4">
      <c r="A132" s="61">
        <f>IF($B$2=$D$2,'01 정보1'!B82,IF($B$2=$E$2,'01 정보1'!B168,IF($B$2=$F$2,'01 정보1'!B254,IF($B$2=$G$2,'01 정보1'!B340,"Error"))))</f>
        <v>81</v>
      </c>
      <c r="B132" s="62">
        <f>IF($B$2=$D$2,'01 정보1'!D82,IF($B$2=$E$2,'01 정보1'!D168,IF($B$2=$F$2,'01 정보1'!D254,IF($B$2=$G$2,'01 정보1'!D340,"Error"))))</f>
        <v>50</v>
      </c>
      <c r="C132" s="16">
        <f>IF($B$2=$D$2, '(검증1)이상치 검정'!$H$3, IF($B$2=$E$2, '(검증1)이상치 검정'!$H$4, IF($B$2=$F$2, '(검증1)이상치 검정'!$H$5, IF($B$2=$G$2, '(검증1)이상치 검정'!$H$6, "Error"))))</f>
        <v>50.471234172221415</v>
      </c>
      <c r="D132" s="16">
        <f>IF($B$2=$D$2, '(검증1)이상치 검정'!$I$3, IF($B$2=$E$2, '(검증1)이상치 검정'!$I$4, IF($B$2=$F$2, '(검증1)이상치 검정'!$I$5, IF($B$2=$G$2, '(검증1)이상치 검정'!$I$6, "Error"))))</f>
        <v>48.182254199871664</v>
      </c>
    </row>
    <row r="133" spans="1:4">
      <c r="A133" s="61">
        <f>IF($B$2=$D$2,'01 정보1'!B83,IF($B$2=$E$2,'01 정보1'!B169,IF($B$2=$F$2,'01 정보1'!B255,IF($B$2=$G$2,'01 정보1'!B341,"Error"))))</f>
        <v>82</v>
      </c>
      <c r="B133" s="62">
        <f>IF($B$2=$D$2,'01 정보1'!D83,IF($B$2=$E$2,'01 정보1'!D169,IF($B$2=$F$2,'01 정보1'!D255,IF($B$2=$G$2,'01 정보1'!D341,"Error"))))</f>
        <v>49.9</v>
      </c>
      <c r="C133" s="16">
        <f>IF($B$2=$D$2, '(검증1)이상치 검정'!$H$3, IF($B$2=$E$2, '(검증1)이상치 검정'!$H$4, IF($B$2=$F$2, '(검증1)이상치 검정'!$H$5, IF($B$2=$G$2, '(검증1)이상치 검정'!$H$6, "Error"))))</f>
        <v>50.471234172221415</v>
      </c>
      <c r="D133" s="16">
        <f>IF($B$2=$D$2, '(검증1)이상치 검정'!$I$3, IF($B$2=$E$2, '(검증1)이상치 검정'!$I$4, IF($B$2=$F$2, '(검증1)이상치 검정'!$I$5, IF($B$2=$G$2, '(검증1)이상치 검정'!$I$6, "Error"))))</f>
        <v>48.182254199871664</v>
      </c>
    </row>
    <row r="134" spans="1:4">
      <c r="A134" s="61">
        <f>IF($B$2=$D$2,'01 정보1'!B84,IF($B$2=$E$2,'01 정보1'!B170,IF($B$2=$F$2,'01 정보1'!B256,IF($B$2=$G$2,'01 정보1'!B342,"Error"))))</f>
        <v>83</v>
      </c>
      <c r="B134" s="62">
        <f>IF($B$2=$D$2,'01 정보1'!D84,IF($B$2=$E$2,'01 정보1'!D170,IF($B$2=$F$2,'01 정보1'!D256,IF($B$2=$G$2,'01 정보1'!D342,"Error"))))</f>
        <v>49.9</v>
      </c>
      <c r="C134" s="16">
        <f>IF($B$2=$D$2, '(검증1)이상치 검정'!$H$3, IF($B$2=$E$2, '(검증1)이상치 검정'!$H$4, IF($B$2=$F$2, '(검증1)이상치 검정'!$H$5, IF($B$2=$G$2, '(검증1)이상치 검정'!$H$6, "Error"))))</f>
        <v>50.471234172221415</v>
      </c>
      <c r="D134" s="16">
        <f>IF($B$2=$D$2, '(검증1)이상치 검정'!$I$3, IF($B$2=$E$2, '(검증1)이상치 검정'!$I$4, IF($B$2=$F$2, '(검증1)이상치 검정'!$I$5, IF($B$2=$G$2, '(검증1)이상치 검정'!$I$6, "Error"))))</f>
        <v>48.182254199871664</v>
      </c>
    </row>
    <row r="135" spans="1:4">
      <c r="A135" s="61">
        <f>IF($B$2=$D$2,'01 정보1'!B85,IF($B$2=$E$2,'01 정보1'!B171,IF($B$2=$F$2,'01 정보1'!B257,IF($B$2=$G$2,'01 정보1'!B343,"Error"))))</f>
        <v>84</v>
      </c>
      <c r="B135" s="62">
        <f>IF($B$2=$D$2,'01 정보1'!D85,IF($B$2=$E$2,'01 정보1'!D171,IF($B$2=$F$2,'01 정보1'!D257,IF($B$2=$G$2,'01 정보1'!D343,"Error"))))</f>
        <v>50.2</v>
      </c>
      <c r="C135" s="16">
        <f>IF($B$2=$D$2, '(검증1)이상치 검정'!$H$3, IF($B$2=$E$2, '(검증1)이상치 검정'!$H$4, IF($B$2=$F$2, '(검증1)이상치 검정'!$H$5, IF($B$2=$G$2, '(검증1)이상치 검정'!$H$6, "Error"))))</f>
        <v>50.471234172221415</v>
      </c>
      <c r="D135" s="16">
        <f>IF($B$2=$D$2, '(검증1)이상치 검정'!$I$3, IF($B$2=$E$2, '(검증1)이상치 검정'!$I$4, IF($B$2=$F$2, '(검증1)이상치 검정'!$I$5, IF($B$2=$G$2, '(검증1)이상치 검정'!$I$6, "Error"))))</f>
        <v>48.182254199871664</v>
      </c>
    </row>
    <row r="136" spans="1:4">
      <c r="A136" s="61">
        <f>IF($B$2=$D$2,'01 정보1'!B86,IF($B$2=$E$2,'01 정보1'!B172,IF($B$2=$F$2,'01 정보1'!B258,IF($B$2=$G$2,'01 정보1'!B344,"Error"))))</f>
        <v>85</v>
      </c>
      <c r="B136" s="62">
        <f>IF($B$2=$D$2,'01 정보1'!D86,IF($B$2=$E$2,'01 정보1'!D172,IF($B$2=$F$2,'01 정보1'!D258,IF($B$2=$G$2,'01 정보1'!D344,"Error"))))</f>
        <v>50.3</v>
      </c>
      <c r="C136" s="16">
        <f>IF($B$2=$D$2, '(검증1)이상치 검정'!$H$3, IF($B$2=$E$2, '(검증1)이상치 검정'!$H$4, IF($B$2=$F$2, '(검증1)이상치 검정'!$H$5, IF($B$2=$G$2, '(검증1)이상치 검정'!$H$6, "Error"))))</f>
        <v>50.471234172221415</v>
      </c>
      <c r="D136" s="16">
        <f>IF($B$2=$D$2, '(검증1)이상치 검정'!$I$3, IF($B$2=$E$2, '(검증1)이상치 검정'!$I$4, IF($B$2=$F$2, '(검증1)이상치 검정'!$I$5, IF($B$2=$G$2, '(검증1)이상치 검정'!$I$6, "Error"))))</f>
        <v>48.182254199871664</v>
      </c>
    </row>
    <row r="137" spans="1:4">
      <c r="A137" s="61">
        <f>IF($B$2=$D$2,'01 정보1'!B87,IF($B$2=$E$2,'01 정보1'!B173,IF($B$2=$F$2,'01 정보1'!B259,IF($B$2=$G$2,'01 정보1'!B345,"Error"))))</f>
        <v>86</v>
      </c>
      <c r="B137" s="62">
        <f>IF($B$2=$D$2,'01 정보1'!D87,IF($B$2=$E$2,'01 정보1'!D173,IF($B$2=$F$2,'01 정보1'!D259,IF($B$2=$G$2,'01 정보1'!D345,"Error"))))</f>
        <v>50.1</v>
      </c>
      <c r="C137" s="16">
        <f>IF($B$2=$D$2, '(검증1)이상치 검정'!$H$3, IF($B$2=$E$2, '(검증1)이상치 검정'!$H$4, IF($B$2=$F$2, '(검증1)이상치 검정'!$H$5, IF($B$2=$G$2, '(검증1)이상치 검정'!$H$6, "Error"))))</f>
        <v>50.471234172221415</v>
      </c>
      <c r="D137" s="16">
        <f>IF($B$2=$D$2, '(검증1)이상치 검정'!$I$3, IF($B$2=$E$2, '(검증1)이상치 검정'!$I$4, IF($B$2=$F$2, '(검증1)이상치 검정'!$I$5, IF($B$2=$G$2, '(검증1)이상치 검정'!$I$6, "Error"))))</f>
        <v>48.182254199871664</v>
      </c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45"/>
  <sheetViews>
    <sheetView tabSelected="1" zoomScaleNormal="100"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H189" sqref="H189"/>
    </sheetView>
  </sheetViews>
  <sheetFormatPr baseColWidth="10" defaultColWidth="9" defaultRowHeight="15"/>
  <cols>
    <col min="1" max="1" width="13.6640625" style="6" bestFit="1" customWidth="1"/>
    <col min="2" max="2" width="7.6640625" style="6" bestFit="1" customWidth="1"/>
    <col min="3" max="3" width="17.5" style="6" bestFit="1" customWidth="1"/>
    <col min="4" max="4" width="6.83203125" style="6" bestFit="1" customWidth="1"/>
    <col min="5" max="5" width="19.1640625" style="6" bestFit="1" customWidth="1"/>
    <col min="6" max="6" width="2.6640625" style="6" customWidth="1"/>
    <col min="7" max="7" width="9" style="6"/>
    <col min="8" max="8" width="9" style="14"/>
    <col min="9" max="16384" width="9" style="6"/>
  </cols>
  <sheetData>
    <row r="1" spans="1:8" s="5" customFormat="1">
      <c r="A1" s="1" t="s">
        <v>0</v>
      </c>
      <c r="B1" s="1" t="s">
        <v>179</v>
      </c>
      <c r="C1" s="1" t="s">
        <v>17</v>
      </c>
      <c r="D1" s="1" t="s">
        <v>18</v>
      </c>
      <c r="E1" s="1" t="s">
        <v>19</v>
      </c>
      <c r="G1" s="10" t="s">
        <v>194</v>
      </c>
      <c r="H1" s="13" t="s">
        <v>196</v>
      </c>
    </row>
    <row r="2" spans="1:8">
      <c r="A2" s="2" t="s">
        <v>9</v>
      </c>
      <c r="B2" s="2">
        <v>1</v>
      </c>
      <c r="C2" s="2" t="s">
        <v>45</v>
      </c>
      <c r="D2" s="3">
        <v>45.1</v>
      </c>
      <c r="E2" s="11">
        <v>44422.932071759256</v>
      </c>
      <c r="G2" s="6">
        <f>ABS((D2-'(검증1)이상치 검정'!$E$3)/'(검증1)이상치 검정'!$F$3)</f>
        <v>0.93927128741701205</v>
      </c>
      <c r="H2" s="14" t="str">
        <f>IF(G2&gt;'(검증1)이상치 검정'!$G$3,"Alert","")</f>
        <v/>
      </c>
    </row>
    <row r="3" spans="1:8">
      <c r="A3" s="2" t="s">
        <v>9</v>
      </c>
      <c r="B3" s="2">
        <v>2</v>
      </c>
      <c r="C3" s="2" t="s">
        <v>46</v>
      </c>
      <c r="D3" s="3">
        <v>45.3</v>
      </c>
      <c r="E3" s="11">
        <v>44422.932766203703</v>
      </c>
      <c r="G3" s="6">
        <f>ABS((D3-'(검증1)이상치 검정'!$E$3)/'(검증1)이상치 검정'!$F$3)</f>
        <v>1.3230115758629273</v>
      </c>
      <c r="H3" s="14" t="str">
        <f>IF(G3&gt;'(검증1)이상치 검정'!$G$3,"Alert","")</f>
        <v/>
      </c>
    </row>
    <row r="4" spans="1:8">
      <c r="A4" s="2" t="s">
        <v>9</v>
      </c>
      <c r="B4" s="2">
        <v>3</v>
      </c>
      <c r="C4" s="2" t="s">
        <v>47</v>
      </c>
      <c r="D4" s="3">
        <v>45.4</v>
      </c>
      <c r="E4" s="11">
        <v>44422.93346064815</v>
      </c>
      <c r="G4" s="6">
        <f>ABS((D4-'(검증1)이상치 검정'!$E$3)/'(검증1)이상치 검정'!$F$3)</f>
        <v>1.5148817200858915</v>
      </c>
      <c r="H4" s="14" t="str">
        <f>IF(G4&gt;'(검증1)이상치 검정'!$G$3,"Alert","")</f>
        <v/>
      </c>
    </row>
    <row r="5" spans="1:8">
      <c r="A5" s="2" t="s">
        <v>9</v>
      </c>
      <c r="B5" s="2">
        <v>4</v>
      </c>
      <c r="C5" s="2" t="s">
        <v>48</v>
      </c>
      <c r="D5" s="3">
        <v>45.3</v>
      </c>
      <c r="E5" s="11">
        <v>44422.934155092589</v>
      </c>
      <c r="G5" s="6">
        <f>ABS((D5-'(검증1)이상치 검정'!$E$3)/'(검증1)이상치 검정'!$F$3)</f>
        <v>1.3230115758629273</v>
      </c>
      <c r="H5" s="14" t="str">
        <f>IF(G5&gt;'(검증1)이상치 검정'!$G$3,"Alert","")</f>
        <v/>
      </c>
    </row>
    <row r="6" spans="1:8">
      <c r="A6" s="2" t="s">
        <v>9</v>
      </c>
      <c r="B6" s="2">
        <v>5</v>
      </c>
      <c r="C6" s="2" t="s">
        <v>49</v>
      </c>
      <c r="D6" s="3">
        <v>45.4</v>
      </c>
      <c r="E6" s="11">
        <v>44422.934849537036</v>
      </c>
      <c r="G6" s="6">
        <f>ABS((D6-'(검증1)이상치 검정'!$E$3)/'(검증1)이상치 검정'!$F$3)</f>
        <v>1.5148817200858915</v>
      </c>
      <c r="H6" s="14" t="str">
        <f>IF(G6&gt;'(검증1)이상치 검정'!$G$3,"Alert","")</f>
        <v/>
      </c>
    </row>
    <row r="7" spans="1:8">
      <c r="A7" s="2" t="s">
        <v>9</v>
      </c>
      <c r="B7" s="2">
        <v>6</v>
      </c>
      <c r="C7" s="2" t="s">
        <v>50</v>
      </c>
      <c r="D7" s="3">
        <v>45.5</v>
      </c>
      <c r="E7" s="11">
        <v>44422.935543981483</v>
      </c>
      <c r="G7" s="6">
        <f>ABS((D7-'(검증1)이상치 검정'!$E$3)/'(검증1)이상치 검정'!$F$3)</f>
        <v>1.7067518643088559</v>
      </c>
      <c r="H7" s="14" t="str">
        <f>IF(G7&gt;'(검증1)이상치 검정'!$G$3,"Alert","")</f>
        <v>Alert</v>
      </c>
    </row>
    <row r="8" spans="1:8">
      <c r="A8" s="2" t="s">
        <v>9</v>
      </c>
      <c r="B8" s="2">
        <v>7</v>
      </c>
      <c r="C8" s="2" t="s">
        <v>51</v>
      </c>
      <c r="D8" s="3">
        <v>45.5</v>
      </c>
      <c r="E8" s="11">
        <v>44422.936238425929</v>
      </c>
      <c r="G8" s="6">
        <f>ABS((D8-'(검증1)이상치 검정'!$E$3)/'(검증1)이상치 검정'!$F$3)</f>
        <v>1.7067518643088559</v>
      </c>
      <c r="H8" s="14" t="str">
        <f>IF(G8&gt;'(검증1)이상치 검정'!$G$3,"Alert","")</f>
        <v>Alert</v>
      </c>
    </row>
    <row r="9" spans="1:8">
      <c r="A9" s="2" t="s">
        <v>9</v>
      </c>
      <c r="B9" s="2">
        <v>8</v>
      </c>
      <c r="C9" s="2" t="s">
        <v>52</v>
      </c>
      <c r="D9" s="3">
        <v>45.5</v>
      </c>
      <c r="E9" s="11">
        <v>44422.936932870369</v>
      </c>
      <c r="G9" s="6">
        <f>ABS((D9-'(검증1)이상치 검정'!$E$3)/'(검증1)이상치 검정'!$F$3)</f>
        <v>1.7067518643088559</v>
      </c>
      <c r="H9" s="14" t="str">
        <f>IF(G9&gt;'(검증1)이상치 검정'!$G$3,"Alert","")</f>
        <v>Alert</v>
      </c>
    </row>
    <row r="10" spans="1:8">
      <c r="A10" s="2" t="s">
        <v>9</v>
      </c>
      <c r="B10" s="2">
        <v>9</v>
      </c>
      <c r="C10" s="2" t="s">
        <v>53</v>
      </c>
      <c r="D10" s="3">
        <v>45.4</v>
      </c>
      <c r="E10" s="11">
        <v>44422.937627314815</v>
      </c>
      <c r="G10" s="6">
        <f>ABS((D10-'(검증1)이상치 검정'!$E$3)/'(검증1)이상치 검정'!$F$3)</f>
        <v>1.5148817200858915</v>
      </c>
      <c r="H10" s="14" t="str">
        <f>IF(G10&gt;'(검증1)이상치 검정'!$G$3,"Alert","")</f>
        <v/>
      </c>
    </row>
    <row r="11" spans="1:8">
      <c r="A11" s="2" t="s">
        <v>9</v>
      </c>
      <c r="B11" s="2">
        <v>10</v>
      </c>
      <c r="C11" s="2" t="s">
        <v>54</v>
      </c>
      <c r="D11" s="3">
        <v>45.4</v>
      </c>
      <c r="E11" s="11">
        <v>44422.938321759262</v>
      </c>
      <c r="G11" s="6">
        <f>ABS((D11-'(검증1)이상치 검정'!$E$3)/'(검증1)이상치 검정'!$F$3)</f>
        <v>1.5148817200858915</v>
      </c>
      <c r="H11" s="14" t="str">
        <f>IF(G11&gt;'(검증1)이상치 검정'!$G$3,"Alert","")</f>
        <v/>
      </c>
    </row>
    <row r="12" spans="1:8">
      <c r="A12" s="2" t="s">
        <v>9</v>
      </c>
      <c r="B12" s="2">
        <v>11</v>
      </c>
      <c r="C12" s="2" t="s">
        <v>55</v>
      </c>
      <c r="D12" s="3">
        <v>45.4</v>
      </c>
      <c r="E12" s="11">
        <v>44422.939016203702</v>
      </c>
      <c r="G12" s="6">
        <f>ABS((D12-'(검증1)이상치 검정'!$E$3)/'(검증1)이상치 검정'!$F$3)</f>
        <v>1.5148817200858915</v>
      </c>
      <c r="H12" s="14" t="str">
        <f>IF(G12&gt;'(검증1)이상치 검정'!$G$3,"Alert","")</f>
        <v/>
      </c>
    </row>
    <row r="13" spans="1:8">
      <c r="A13" s="2" t="s">
        <v>9</v>
      </c>
      <c r="B13" s="2">
        <v>12</v>
      </c>
      <c r="C13" s="2" t="s">
        <v>56</v>
      </c>
      <c r="D13" s="3">
        <v>45.3</v>
      </c>
      <c r="E13" s="11">
        <v>44422.939710648148</v>
      </c>
      <c r="G13" s="6">
        <f>ABS((D13-'(검증1)이상치 검정'!$E$3)/'(검증1)이상치 검정'!$F$3)</f>
        <v>1.3230115758629273</v>
      </c>
      <c r="H13" s="14" t="str">
        <f>IF(G13&gt;'(검증1)이상치 검정'!$G$3,"Alert","")</f>
        <v/>
      </c>
    </row>
    <row r="14" spans="1:8">
      <c r="A14" s="2" t="s">
        <v>9</v>
      </c>
      <c r="B14" s="2">
        <v>13</v>
      </c>
      <c r="C14" s="2" t="s">
        <v>57</v>
      </c>
      <c r="D14" s="3">
        <v>45.1</v>
      </c>
      <c r="E14" s="11">
        <v>44422.940405092595</v>
      </c>
      <c r="G14" s="6">
        <f>ABS((D14-'(검증1)이상치 검정'!$E$3)/'(검증1)이상치 검정'!$F$3)</f>
        <v>0.93927128741701205</v>
      </c>
      <c r="H14" s="14" t="str">
        <f>IF(G14&gt;'(검증1)이상치 검정'!$G$3,"Alert","")</f>
        <v/>
      </c>
    </row>
    <row r="15" spans="1:8">
      <c r="A15" s="2" t="s">
        <v>9</v>
      </c>
      <c r="B15" s="2">
        <v>14</v>
      </c>
      <c r="C15" s="2" t="s">
        <v>58</v>
      </c>
      <c r="D15" s="3">
        <v>45</v>
      </c>
      <c r="E15" s="11">
        <v>44422.941099537034</v>
      </c>
      <c r="G15" s="6">
        <f>ABS((D15-'(검증1)이상치 검정'!$E$3)/'(검증1)이상치 검정'!$F$3)</f>
        <v>0.7474011431940476</v>
      </c>
      <c r="H15" s="14" t="str">
        <f>IF(G15&gt;'(검증1)이상치 검정'!$G$3,"Alert","")</f>
        <v/>
      </c>
    </row>
    <row r="16" spans="1:8">
      <c r="A16" s="2" t="s">
        <v>9</v>
      </c>
      <c r="B16" s="2">
        <v>15</v>
      </c>
      <c r="C16" s="2" t="s">
        <v>59</v>
      </c>
      <c r="D16" s="3">
        <v>45</v>
      </c>
      <c r="E16" s="11">
        <v>44422.941793981481</v>
      </c>
      <c r="G16" s="6">
        <f>ABS((D16-'(검증1)이상치 검정'!$E$3)/'(검증1)이상치 검정'!$F$3)</f>
        <v>0.7474011431940476</v>
      </c>
      <c r="H16" s="14" t="str">
        <f>IF(G16&gt;'(검증1)이상치 검정'!$G$3,"Alert","")</f>
        <v/>
      </c>
    </row>
    <row r="17" spans="1:8">
      <c r="A17" s="2" t="s">
        <v>9</v>
      </c>
      <c r="B17" s="2">
        <v>16</v>
      </c>
      <c r="C17" s="2" t="s">
        <v>60</v>
      </c>
      <c r="D17" s="3">
        <v>44.9</v>
      </c>
      <c r="E17" s="11">
        <v>44422.942488425928</v>
      </c>
      <c r="G17" s="6">
        <f>ABS((D17-'(검증1)이상치 검정'!$E$3)/'(검증1)이상치 검정'!$F$3)</f>
        <v>0.55553099897108327</v>
      </c>
      <c r="H17" s="14" t="str">
        <f>IF(G17&gt;'(검증1)이상치 검정'!$G$3,"Alert","")</f>
        <v/>
      </c>
    </row>
    <row r="18" spans="1:8">
      <c r="A18" s="2" t="s">
        <v>9</v>
      </c>
      <c r="B18" s="2">
        <v>17</v>
      </c>
      <c r="C18" s="2" t="s">
        <v>61</v>
      </c>
      <c r="D18" s="3">
        <v>44.9</v>
      </c>
      <c r="E18" s="11">
        <v>44422.943182870367</v>
      </c>
      <c r="G18" s="6">
        <f>ABS((D18-'(검증1)이상치 검정'!$E$3)/'(검증1)이상치 검정'!$F$3)</f>
        <v>0.55553099897108327</v>
      </c>
      <c r="H18" s="14" t="str">
        <f>IF(G18&gt;'(검증1)이상치 검정'!$G$3,"Alert","")</f>
        <v/>
      </c>
    </row>
    <row r="19" spans="1:8">
      <c r="A19" s="2" t="s">
        <v>9</v>
      </c>
      <c r="B19" s="2">
        <v>18</v>
      </c>
      <c r="C19" s="2" t="s">
        <v>62</v>
      </c>
      <c r="D19" s="3">
        <v>44.9</v>
      </c>
      <c r="E19" s="11">
        <v>44422.943877314814</v>
      </c>
      <c r="G19" s="6">
        <f>ABS((D19-'(검증1)이상치 검정'!$E$3)/'(검증1)이상치 검정'!$F$3)</f>
        <v>0.55553099897108327</v>
      </c>
      <c r="H19" s="14" t="str">
        <f>IF(G19&gt;'(검증1)이상치 검정'!$G$3,"Alert","")</f>
        <v/>
      </c>
    </row>
    <row r="20" spans="1:8">
      <c r="A20" s="2" t="s">
        <v>9</v>
      </c>
      <c r="B20" s="2">
        <v>19</v>
      </c>
      <c r="C20" s="2" t="s">
        <v>63</v>
      </c>
      <c r="D20" s="3">
        <v>44.8</v>
      </c>
      <c r="E20" s="11">
        <v>44422.944571759261</v>
      </c>
      <c r="G20" s="6">
        <f>ABS((D20-'(검증1)이상치 검정'!$E$3)/'(검증1)이상치 검정'!$F$3)</f>
        <v>0.36366085474811882</v>
      </c>
      <c r="H20" s="14" t="str">
        <f>IF(G20&gt;'(검증1)이상치 검정'!$G$3,"Alert","")</f>
        <v/>
      </c>
    </row>
    <row r="21" spans="1:8">
      <c r="A21" s="2" t="s">
        <v>9</v>
      </c>
      <c r="B21" s="2">
        <v>20</v>
      </c>
      <c r="C21" s="2" t="s">
        <v>64</v>
      </c>
      <c r="D21" s="3">
        <v>45</v>
      </c>
      <c r="E21" s="11">
        <v>44422.9452662037</v>
      </c>
      <c r="G21" s="6">
        <f>ABS((D21-'(검증1)이상치 검정'!$E$3)/'(검증1)이상치 검정'!$F$3)</f>
        <v>0.7474011431940476</v>
      </c>
      <c r="H21" s="14" t="str">
        <f>IF(G21&gt;'(검증1)이상치 검정'!$G$3,"Alert","")</f>
        <v/>
      </c>
    </row>
    <row r="22" spans="1:8">
      <c r="A22" s="2" t="s">
        <v>9</v>
      </c>
      <c r="B22" s="2">
        <v>21</v>
      </c>
      <c r="C22" s="2" t="s">
        <v>65</v>
      </c>
      <c r="D22" s="3">
        <v>45</v>
      </c>
      <c r="E22" s="11">
        <v>44422.945960648147</v>
      </c>
      <c r="G22" s="6">
        <f>ABS((D22-'(검증1)이상치 검정'!$E$3)/'(검증1)이상치 검정'!$F$3)</f>
        <v>0.7474011431940476</v>
      </c>
      <c r="H22" s="14" t="str">
        <f>IF(G22&gt;'(검증1)이상치 검정'!$G$3,"Alert","")</f>
        <v/>
      </c>
    </row>
    <row r="23" spans="1:8">
      <c r="A23" s="2" t="s">
        <v>9</v>
      </c>
      <c r="B23" s="2">
        <v>22</v>
      </c>
      <c r="C23" s="2" t="s">
        <v>66</v>
      </c>
      <c r="D23" s="3">
        <v>44.9</v>
      </c>
      <c r="E23" s="11">
        <v>44422.946655092594</v>
      </c>
      <c r="G23" s="6">
        <f>ABS((D23-'(검증1)이상치 검정'!$E$3)/'(검증1)이상치 검정'!$F$3)</f>
        <v>0.55553099897108327</v>
      </c>
      <c r="H23" s="14" t="str">
        <f>IF(G23&gt;'(검증1)이상치 검정'!$G$3,"Alert","")</f>
        <v/>
      </c>
    </row>
    <row r="24" spans="1:8">
      <c r="A24" s="2" t="s">
        <v>9</v>
      </c>
      <c r="B24" s="2">
        <v>23</v>
      </c>
      <c r="C24" s="2" t="s">
        <v>67</v>
      </c>
      <c r="D24" s="3">
        <v>44.9</v>
      </c>
      <c r="E24" s="11">
        <v>44422.94734953704</v>
      </c>
      <c r="G24" s="6">
        <f>ABS((D24-'(검증1)이상치 검정'!$E$3)/'(검증1)이상치 검정'!$F$3)</f>
        <v>0.55553099897108327</v>
      </c>
      <c r="H24" s="14" t="str">
        <f>IF(G24&gt;'(검증1)이상치 검정'!$G$3,"Alert","")</f>
        <v/>
      </c>
    </row>
    <row r="25" spans="1:8">
      <c r="A25" s="2" t="s">
        <v>9</v>
      </c>
      <c r="B25" s="2">
        <v>24</v>
      </c>
      <c r="C25" s="2" t="s">
        <v>68</v>
      </c>
      <c r="D25" s="3">
        <v>44.9</v>
      </c>
      <c r="E25" s="11">
        <v>44422.94804398148</v>
      </c>
      <c r="G25" s="6">
        <f>ABS((D25-'(검증1)이상치 검정'!$E$3)/'(검증1)이상치 검정'!$F$3)</f>
        <v>0.55553099897108327</v>
      </c>
      <c r="H25" s="14" t="str">
        <f>IF(G25&gt;'(검증1)이상치 검정'!$G$3,"Alert","")</f>
        <v/>
      </c>
    </row>
    <row r="26" spans="1:8">
      <c r="A26" s="2" t="s">
        <v>9</v>
      </c>
      <c r="B26" s="2">
        <v>25</v>
      </c>
      <c r="C26" s="2" t="s">
        <v>69</v>
      </c>
      <c r="D26" s="3">
        <v>44.8</v>
      </c>
      <c r="E26" s="11">
        <v>44422.948738425926</v>
      </c>
      <c r="G26" s="6">
        <f>ABS((D26-'(검증1)이상치 검정'!$E$3)/'(검증1)이상치 검정'!$F$3)</f>
        <v>0.36366085474811882</v>
      </c>
      <c r="H26" s="14" t="str">
        <f>IF(G26&gt;'(검증1)이상치 검정'!$G$3,"Alert","")</f>
        <v/>
      </c>
    </row>
    <row r="27" spans="1:8">
      <c r="A27" s="2" t="s">
        <v>9</v>
      </c>
      <c r="B27" s="2">
        <v>26</v>
      </c>
      <c r="C27" s="2" t="s">
        <v>70</v>
      </c>
      <c r="D27" s="3">
        <v>44.8</v>
      </c>
      <c r="E27" s="11">
        <v>44422.949432870373</v>
      </c>
      <c r="G27" s="6">
        <f>ABS((D27-'(검증1)이상치 검정'!$E$3)/'(검증1)이상치 검정'!$F$3)</f>
        <v>0.36366085474811882</v>
      </c>
      <c r="H27" s="14" t="str">
        <f>IF(G27&gt;'(검증1)이상치 검정'!$G$3,"Alert","")</f>
        <v/>
      </c>
    </row>
    <row r="28" spans="1:8">
      <c r="A28" s="2" t="s">
        <v>9</v>
      </c>
      <c r="B28" s="2">
        <v>27</v>
      </c>
      <c r="C28" s="2" t="s">
        <v>71</v>
      </c>
      <c r="D28" s="3">
        <v>44.8</v>
      </c>
      <c r="E28" s="11">
        <v>44422.950127314813</v>
      </c>
      <c r="G28" s="6">
        <f>ABS((D28-'(검증1)이상치 검정'!$E$3)/'(검증1)이상치 검정'!$F$3)</f>
        <v>0.36366085474811882</v>
      </c>
      <c r="H28" s="14" t="str">
        <f>IF(G28&gt;'(검증1)이상치 검정'!$G$3,"Alert","")</f>
        <v/>
      </c>
    </row>
    <row r="29" spans="1:8">
      <c r="A29" s="2" t="s">
        <v>9</v>
      </c>
      <c r="B29" s="2">
        <v>28</v>
      </c>
      <c r="C29" s="2" t="s">
        <v>72</v>
      </c>
      <c r="D29" s="3">
        <v>44.8</v>
      </c>
      <c r="E29" s="11">
        <v>44422.950821759259</v>
      </c>
      <c r="G29" s="6">
        <f>ABS((D29-'(검증1)이상치 검정'!$E$3)/'(검증1)이상치 검정'!$F$3)</f>
        <v>0.36366085474811882</v>
      </c>
      <c r="H29" s="14" t="str">
        <f>IF(G29&gt;'(검증1)이상치 검정'!$G$3,"Alert","")</f>
        <v/>
      </c>
    </row>
    <row r="30" spans="1:8">
      <c r="A30" s="2" t="s">
        <v>9</v>
      </c>
      <c r="B30" s="2">
        <v>29</v>
      </c>
      <c r="C30" s="2" t="s">
        <v>73</v>
      </c>
      <c r="D30" s="3">
        <v>44.8</v>
      </c>
      <c r="E30" s="11">
        <v>44422.951516203706</v>
      </c>
      <c r="G30" s="6">
        <f>ABS((D30-'(검증1)이상치 검정'!$E$3)/'(검증1)이상치 검정'!$F$3)</f>
        <v>0.36366085474811882</v>
      </c>
      <c r="H30" s="14" t="str">
        <f>IF(G30&gt;'(검증1)이상치 검정'!$G$3,"Alert","")</f>
        <v/>
      </c>
    </row>
    <row r="31" spans="1:8">
      <c r="A31" s="2" t="s">
        <v>9</v>
      </c>
      <c r="B31" s="2">
        <v>30</v>
      </c>
      <c r="C31" s="2" t="s">
        <v>74</v>
      </c>
      <c r="D31" s="3">
        <v>44.8</v>
      </c>
      <c r="E31" s="11">
        <v>44422.952210648145</v>
      </c>
      <c r="G31" s="6">
        <f>ABS((D31-'(검증1)이상치 검정'!$E$3)/'(검증1)이상치 검정'!$F$3)</f>
        <v>0.36366085474811882</v>
      </c>
      <c r="H31" s="14" t="str">
        <f>IF(G31&gt;'(검증1)이상치 검정'!$G$3,"Alert","")</f>
        <v/>
      </c>
    </row>
    <row r="32" spans="1:8">
      <c r="A32" s="2" t="s">
        <v>9</v>
      </c>
      <c r="B32" s="2">
        <v>31</v>
      </c>
      <c r="C32" s="2" t="s">
        <v>75</v>
      </c>
      <c r="D32" s="3">
        <v>44.8</v>
      </c>
      <c r="E32" s="11">
        <v>44422.952905092592</v>
      </c>
      <c r="G32" s="6">
        <f>ABS((D32-'(검증1)이상치 검정'!$E$3)/'(검증1)이상치 검정'!$F$3)</f>
        <v>0.36366085474811882</v>
      </c>
      <c r="H32" s="14" t="str">
        <f>IF(G32&gt;'(검증1)이상치 검정'!$G$3,"Alert","")</f>
        <v/>
      </c>
    </row>
    <row r="33" spans="1:8">
      <c r="A33" s="2" t="s">
        <v>9</v>
      </c>
      <c r="B33" s="2">
        <v>32</v>
      </c>
      <c r="C33" s="2" t="s">
        <v>76</v>
      </c>
      <c r="D33" s="3">
        <v>44.8</v>
      </c>
      <c r="E33" s="11">
        <v>44422.953599537039</v>
      </c>
      <c r="G33" s="6">
        <f>ABS((D33-'(검증1)이상치 검정'!$E$3)/'(검증1)이상치 검정'!$F$3)</f>
        <v>0.36366085474811882</v>
      </c>
      <c r="H33" s="14" t="str">
        <f>IF(G33&gt;'(검증1)이상치 검정'!$G$3,"Alert","")</f>
        <v/>
      </c>
    </row>
    <row r="34" spans="1:8">
      <c r="A34" s="2" t="s">
        <v>9</v>
      </c>
      <c r="B34" s="2">
        <v>33</v>
      </c>
      <c r="C34" s="2" t="s">
        <v>77</v>
      </c>
      <c r="D34" s="3">
        <v>45.1</v>
      </c>
      <c r="E34" s="11">
        <v>44422.954293981478</v>
      </c>
      <c r="G34" s="6">
        <f>ABS((D34-'(검증1)이상치 검정'!$E$3)/'(검증1)이상치 검정'!$F$3)</f>
        <v>0.93927128741701205</v>
      </c>
      <c r="H34" s="14" t="str">
        <f>IF(G34&gt;'(검증1)이상치 검정'!$G$3,"Alert","")</f>
        <v/>
      </c>
    </row>
    <row r="35" spans="1:8">
      <c r="A35" s="2" t="s">
        <v>9</v>
      </c>
      <c r="B35" s="2">
        <v>34</v>
      </c>
      <c r="C35" s="2" t="s">
        <v>78</v>
      </c>
      <c r="D35" s="3">
        <v>45</v>
      </c>
      <c r="E35" s="11">
        <v>44422.954988425925</v>
      </c>
      <c r="G35" s="6">
        <f>ABS((D35-'(검증1)이상치 검정'!$E$3)/'(검증1)이상치 검정'!$F$3)</f>
        <v>0.7474011431940476</v>
      </c>
      <c r="H35" s="14" t="str">
        <f>IF(G35&gt;'(검증1)이상치 검정'!$G$3,"Alert","")</f>
        <v/>
      </c>
    </row>
    <row r="36" spans="1:8">
      <c r="A36" s="2" t="s">
        <v>9</v>
      </c>
      <c r="B36" s="2">
        <v>35</v>
      </c>
      <c r="C36" s="2" t="s">
        <v>79</v>
      </c>
      <c r="D36" s="3">
        <v>45</v>
      </c>
      <c r="E36" s="11">
        <v>44422.955682870372</v>
      </c>
      <c r="G36" s="6">
        <f>ABS((D36-'(검증1)이상치 검정'!$E$3)/'(검증1)이상치 검정'!$F$3)</f>
        <v>0.7474011431940476</v>
      </c>
      <c r="H36" s="14" t="str">
        <f>IF(G36&gt;'(검증1)이상치 검정'!$G$3,"Alert","")</f>
        <v/>
      </c>
    </row>
    <row r="37" spans="1:8">
      <c r="A37" s="2" t="s">
        <v>9</v>
      </c>
      <c r="B37" s="2">
        <v>36</v>
      </c>
      <c r="C37" s="2" t="s">
        <v>80</v>
      </c>
      <c r="D37" s="3">
        <v>45</v>
      </c>
      <c r="E37" s="11">
        <v>44422.956377314818</v>
      </c>
      <c r="G37" s="6">
        <f>ABS((D37-'(검증1)이상치 검정'!$E$3)/'(검증1)이상치 검정'!$F$3)</f>
        <v>0.7474011431940476</v>
      </c>
      <c r="H37" s="14" t="str">
        <f>IF(G37&gt;'(검증1)이상치 검정'!$G$3,"Alert","")</f>
        <v/>
      </c>
    </row>
    <row r="38" spans="1:8">
      <c r="A38" s="2" t="s">
        <v>9</v>
      </c>
      <c r="B38" s="2">
        <v>37</v>
      </c>
      <c r="C38" s="2" t="s">
        <v>81</v>
      </c>
      <c r="D38" s="3">
        <v>44.9</v>
      </c>
      <c r="E38" s="11">
        <v>44422.957071759258</v>
      </c>
      <c r="G38" s="6">
        <f>ABS((D38-'(검증1)이상치 검정'!$E$3)/'(검증1)이상치 검정'!$F$3)</f>
        <v>0.55553099897108327</v>
      </c>
      <c r="H38" s="14" t="str">
        <f>IF(G38&gt;'(검증1)이상치 검정'!$G$3,"Alert","")</f>
        <v/>
      </c>
    </row>
    <row r="39" spans="1:8">
      <c r="A39" s="2" t="s">
        <v>9</v>
      </c>
      <c r="B39" s="2">
        <v>38</v>
      </c>
      <c r="C39" s="2" t="s">
        <v>82</v>
      </c>
      <c r="D39" s="3">
        <v>44.8</v>
      </c>
      <c r="E39" s="11">
        <v>44422.957766203705</v>
      </c>
      <c r="G39" s="6">
        <f>ABS((D39-'(검증1)이상치 검정'!$E$3)/'(검증1)이상치 검정'!$F$3)</f>
        <v>0.36366085474811882</v>
      </c>
      <c r="H39" s="14" t="str">
        <f>IF(G39&gt;'(검증1)이상치 검정'!$G$3,"Alert","")</f>
        <v/>
      </c>
    </row>
    <row r="40" spans="1:8">
      <c r="A40" s="2" t="s">
        <v>9</v>
      </c>
      <c r="B40" s="2">
        <v>39</v>
      </c>
      <c r="C40" s="2" t="s">
        <v>83</v>
      </c>
      <c r="D40" s="3">
        <v>44.7</v>
      </c>
      <c r="E40" s="11">
        <v>44422.958460648151</v>
      </c>
      <c r="G40" s="6">
        <f>ABS((D40-'(검증1)이상치 검정'!$E$3)/'(검증1)이상치 검정'!$F$3)</f>
        <v>0.17179071052516809</v>
      </c>
      <c r="H40" s="14" t="str">
        <f>IF(G40&gt;'(검증1)이상치 검정'!$G$3,"Alert","")</f>
        <v/>
      </c>
    </row>
    <row r="41" spans="1:8">
      <c r="A41" s="2" t="s">
        <v>9</v>
      </c>
      <c r="B41" s="2">
        <v>40</v>
      </c>
      <c r="C41" s="2" t="s">
        <v>84</v>
      </c>
      <c r="D41" s="3">
        <v>44.7</v>
      </c>
      <c r="E41" s="11">
        <v>44422.959155092591</v>
      </c>
      <c r="G41" s="6">
        <f>ABS((D41-'(검증1)이상치 검정'!$E$3)/'(검증1)이상치 검정'!$F$3)</f>
        <v>0.17179071052516809</v>
      </c>
      <c r="H41" s="14" t="str">
        <f>IF(G41&gt;'(검증1)이상치 검정'!$G$3,"Alert","")</f>
        <v/>
      </c>
    </row>
    <row r="42" spans="1:8">
      <c r="A42" s="2" t="s">
        <v>9</v>
      </c>
      <c r="B42" s="2">
        <v>41</v>
      </c>
      <c r="C42" s="2" t="s">
        <v>85</v>
      </c>
      <c r="D42" s="3">
        <v>44.6</v>
      </c>
      <c r="E42" s="11">
        <v>44422.959849537037</v>
      </c>
      <c r="G42" s="6">
        <f>ABS((D42-'(검증1)이상치 검정'!$E$3)/'(검증1)이상치 검정'!$F$3)</f>
        <v>2.0079433697796318E-2</v>
      </c>
      <c r="H42" s="14" t="str">
        <f>IF(G42&gt;'(검증1)이상치 검정'!$G$3,"Alert","")</f>
        <v/>
      </c>
    </row>
    <row r="43" spans="1:8">
      <c r="A43" s="2" t="s">
        <v>9</v>
      </c>
      <c r="B43" s="2">
        <v>42</v>
      </c>
      <c r="C43" s="2" t="s">
        <v>86</v>
      </c>
      <c r="D43" s="3">
        <v>44.7</v>
      </c>
      <c r="E43" s="11">
        <v>44422.960543981484</v>
      </c>
      <c r="G43" s="6">
        <f>ABS((D43-'(검증1)이상치 검정'!$E$3)/'(검증1)이상치 검정'!$F$3)</f>
        <v>0.17179071052516809</v>
      </c>
      <c r="H43" s="14" t="str">
        <f>IF(G43&gt;'(검증1)이상치 검정'!$G$3,"Alert","")</f>
        <v/>
      </c>
    </row>
    <row r="44" spans="1:8">
      <c r="A44" s="2" t="s">
        <v>9</v>
      </c>
      <c r="B44" s="2">
        <v>43</v>
      </c>
      <c r="C44" s="2" t="s">
        <v>87</v>
      </c>
      <c r="D44" s="3">
        <v>44.6</v>
      </c>
      <c r="E44" s="11">
        <v>44422.961238425924</v>
      </c>
      <c r="G44" s="6">
        <f>ABS((D44-'(검증1)이상치 검정'!$E$3)/'(검증1)이상치 검정'!$F$3)</f>
        <v>2.0079433697796318E-2</v>
      </c>
      <c r="H44" s="14" t="str">
        <f>IF(G44&gt;'(검증1)이상치 검정'!$G$3,"Alert","")</f>
        <v/>
      </c>
    </row>
    <row r="45" spans="1:8">
      <c r="A45" s="2" t="s">
        <v>9</v>
      </c>
      <c r="B45" s="2">
        <v>44</v>
      </c>
      <c r="C45" s="2" t="s">
        <v>88</v>
      </c>
      <c r="D45" s="3">
        <v>45</v>
      </c>
      <c r="E45" s="11">
        <v>44422.96193287037</v>
      </c>
      <c r="G45" s="6">
        <f>ABS((D45-'(검증1)이상치 검정'!$E$3)/'(검증1)이상치 검정'!$F$3)</f>
        <v>0.7474011431940476</v>
      </c>
      <c r="H45" s="14" t="str">
        <f>IF(G45&gt;'(검증1)이상치 검정'!$G$3,"Alert","")</f>
        <v/>
      </c>
    </row>
    <row r="46" spans="1:8">
      <c r="A46" s="2" t="s">
        <v>9</v>
      </c>
      <c r="B46" s="2">
        <v>45</v>
      </c>
      <c r="C46" s="2" t="s">
        <v>89</v>
      </c>
      <c r="D46" s="3">
        <v>44.9</v>
      </c>
      <c r="E46" s="11">
        <v>44422.962627314817</v>
      </c>
      <c r="G46" s="6">
        <f>ABS((D46-'(검증1)이상치 검정'!$E$3)/'(검증1)이상치 검정'!$F$3)</f>
        <v>0.55553099897108327</v>
      </c>
      <c r="H46" s="14" t="str">
        <f>IF(G46&gt;'(검증1)이상치 검정'!$G$3,"Alert","")</f>
        <v/>
      </c>
    </row>
    <row r="47" spans="1:8">
      <c r="A47" s="2" t="s">
        <v>9</v>
      </c>
      <c r="B47" s="2">
        <v>46</v>
      </c>
      <c r="C47" s="2" t="s">
        <v>90</v>
      </c>
      <c r="D47" s="3">
        <v>44.9</v>
      </c>
      <c r="E47" s="11">
        <v>44422.963321759256</v>
      </c>
      <c r="G47" s="6">
        <f>ABS((D47-'(검증1)이상치 검정'!$E$3)/'(검증1)이상치 검정'!$F$3)</f>
        <v>0.55553099897108327</v>
      </c>
      <c r="H47" s="14" t="str">
        <f>IF(G47&gt;'(검증1)이상치 검정'!$G$3,"Alert","")</f>
        <v/>
      </c>
    </row>
    <row r="48" spans="1:8">
      <c r="A48" s="2" t="s">
        <v>9</v>
      </c>
      <c r="B48" s="2">
        <v>47</v>
      </c>
      <c r="C48" s="2" t="s">
        <v>91</v>
      </c>
      <c r="D48" s="3">
        <v>44.8</v>
      </c>
      <c r="E48" s="11">
        <v>44422.964016203703</v>
      </c>
      <c r="G48" s="6">
        <f>ABS((D48-'(검증1)이상치 검정'!$E$3)/'(검증1)이상치 검정'!$F$3)</f>
        <v>0.36366085474811882</v>
      </c>
      <c r="H48" s="14" t="str">
        <f>IF(G48&gt;'(검증1)이상치 검정'!$G$3,"Alert","")</f>
        <v/>
      </c>
    </row>
    <row r="49" spans="1:8">
      <c r="A49" s="2" t="s">
        <v>9</v>
      </c>
      <c r="B49" s="2">
        <v>48</v>
      </c>
      <c r="C49" s="2" t="s">
        <v>92</v>
      </c>
      <c r="D49" s="3">
        <v>44.8</v>
      </c>
      <c r="E49" s="11">
        <v>44422.96471064815</v>
      </c>
      <c r="G49" s="6">
        <f>ABS((D49-'(검증1)이상치 검정'!$E$3)/'(검증1)이상치 검정'!$F$3)</f>
        <v>0.36366085474811882</v>
      </c>
      <c r="H49" s="14" t="str">
        <f>IF(G49&gt;'(검증1)이상치 검정'!$G$3,"Alert","")</f>
        <v/>
      </c>
    </row>
    <row r="50" spans="1:8">
      <c r="A50" s="2" t="s">
        <v>9</v>
      </c>
      <c r="B50" s="2">
        <v>49</v>
      </c>
      <c r="C50" s="2" t="s">
        <v>93</v>
      </c>
      <c r="D50" s="3">
        <v>44.7</v>
      </c>
      <c r="E50" s="11">
        <v>44422.965405092589</v>
      </c>
      <c r="G50" s="6">
        <f>ABS((D50-'(검증1)이상치 검정'!$E$3)/'(검증1)이상치 검정'!$F$3)</f>
        <v>0.17179071052516809</v>
      </c>
      <c r="H50" s="14" t="str">
        <f>IF(G50&gt;'(검증1)이상치 검정'!$G$3,"Alert","")</f>
        <v/>
      </c>
    </row>
    <row r="51" spans="1:8">
      <c r="A51" s="2" t="s">
        <v>9</v>
      </c>
      <c r="B51" s="2">
        <v>50</v>
      </c>
      <c r="C51" s="2" t="s">
        <v>94</v>
      </c>
      <c r="D51" s="3">
        <v>44.8</v>
      </c>
      <c r="E51" s="11">
        <v>44422.966099537036</v>
      </c>
      <c r="G51" s="6">
        <f>ABS((D51-'(검증1)이상치 검정'!$E$3)/'(검증1)이상치 검정'!$F$3)</f>
        <v>0.36366085474811882</v>
      </c>
      <c r="H51" s="14" t="str">
        <f>IF(G51&gt;'(검증1)이상치 검정'!$G$3,"Alert","")</f>
        <v/>
      </c>
    </row>
    <row r="52" spans="1:8">
      <c r="A52" s="2" t="s">
        <v>9</v>
      </c>
      <c r="B52" s="2">
        <v>51</v>
      </c>
      <c r="C52" s="2" t="s">
        <v>20</v>
      </c>
      <c r="D52" s="3">
        <v>44.8</v>
      </c>
      <c r="E52" s="11">
        <v>44422.966793981483</v>
      </c>
      <c r="G52" s="6">
        <f>ABS((D52-'(검증1)이상치 검정'!$E$3)/'(검증1)이상치 검정'!$F$3)</f>
        <v>0.36366085474811882</v>
      </c>
      <c r="H52" s="14" t="str">
        <f>IF(G52&gt;'(검증1)이상치 검정'!$G$3,"Alert","")</f>
        <v/>
      </c>
    </row>
    <row r="53" spans="1:8">
      <c r="A53" s="2" t="s">
        <v>9</v>
      </c>
      <c r="B53" s="2">
        <v>52</v>
      </c>
      <c r="C53" s="2" t="s">
        <v>21</v>
      </c>
      <c r="D53" s="3">
        <v>44.8</v>
      </c>
      <c r="E53" s="11">
        <v>44422.967488425929</v>
      </c>
      <c r="G53" s="6">
        <f>ABS((D53-'(검증1)이상치 검정'!$E$3)/'(검증1)이상치 검정'!$F$3)</f>
        <v>0.36366085474811882</v>
      </c>
      <c r="H53" s="14" t="str">
        <f>IF(G53&gt;'(검증1)이상치 검정'!$G$3,"Alert","")</f>
        <v/>
      </c>
    </row>
    <row r="54" spans="1:8">
      <c r="A54" s="2" t="s">
        <v>9</v>
      </c>
      <c r="B54" s="2">
        <v>53</v>
      </c>
      <c r="C54" s="2" t="s">
        <v>22</v>
      </c>
      <c r="D54" s="3">
        <v>44.6</v>
      </c>
      <c r="E54" s="11">
        <v>44422.968182870369</v>
      </c>
      <c r="G54" s="6">
        <f>ABS((D54-'(검증1)이상치 검정'!$E$3)/'(검증1)이상치 검정'!$F$3)</f>
        <v>2.0079433697796318E-2</v>
      </c>
      <c r="H54" s="14" t="str">
        <f>IF(G54&gt;'(검증1)이상치 검정'!$G$3,"Alert","")</f>
        <v/>
      </c>
    </row>
    <row r="55" spans="1:8">
      <c r="A55" s="2" t="s">
        <v>9</v>
      </c>
      <c r="B55" s="2">
        <v>54</v>
      </c>
      <c r="C55" s="2" t="s">
        <v>23</v>
      </c>
      <c r="D55" s="3">
        <v>44.4</v>
      </c>
      <c r="E55" s="11">
        <v>44422.968877314815</v>
      </c>
      <c r="G55" s="6">
        <f>ABS((D55-'(검증1)이상치 검정'!$E$3)/'(검증1)이상치 검정'!$F$3)</f>
        <v>0.40381972214372508</v>
      </c>
      <c r="H55" s="14" t="str">
        <f>IF(G55&gt;'(검증1)이상치 검정'!$G$3,"Alert","")</f>
        <v/>
      </c>
    </row>
    <row r="56" spans="1:8">
      <c r="A56" s="2" t="s">
        <v>9</v>
      </c>
      <c r="B56" s="2">
        <v>55</v>
      </c>
      <c r="C56" s="2" t="s">
        <v>24</v>
      </c>
      <c r="D56" s="3">
        <v>44.6</v>
      </c>
      <c r="E56" s="11">
        <v>44422.969571759262</v>
      </c>
      <c r="G56" s="6">
        <f>ABS((D56-'(검증1)이상치 검정'!$E$3)/'(검증1)이상치 검정'!$F$3)</f>
        <v>2.0079433697796318E-2</v>
      </c>
      <c r="H56" s="14" t="str">
        <f>IF(G56&gt;'(검증1)이상치 검정'!$G$3,"Alert","")</f>
        <v/>
      </c>
    </row>
    <row r="57" spans="1:8">
      <c r="A57" s="2" t="s">
        <v>9</v>
      </c>
      <c r="B57" s="2">
        <v>56</v>
      </c>
      <c r="C57" s="2" t="s">
        <v>25</v>
      </c>
      <c r="D57" s="3">
        <v>44.4</v>
      </c>
      <c r="E57" s="11">
        <v>44422.970266203702</v>
      </c>
      <c r="G57" s="6">
        <f>ABS((D57-'(검증1)이상치 검정'!$E$3)/'(검증1)이상치 검정'!$F$3)</f>
        <v>0.40381972214372508</v>
      </c>
      <c r="H57" s="14" t="str">
        <f>IF(G57&gt;'(검증1)이상치 검정'!$G$3,"Alert","")</f>
        <v/>
      </c>
    </row>
    <row r="58" spans="1:8">
      <c r="A58" s="2" t="s">
        <v>9</v>
      </c>
      <c r="B58" s="2">
        <v>57</v>
      </c>
      <c r="C58" s="2" t="s">
        <v>26</v>
      </c>
      <c r="D58" s="3">
        <v>44.3</v>
      </c>
      <c r="E58" s="11">
        <v>44422.970960648148</v>
      </c>
      <c r="G58" s="6">
        <f>ABS((D58-'(검증1)이상치 검정'!$E$3)/'(검증1)이상치 검정'!$F$3)</f>
        <v>0.59568986636668952</v>
      </c>
      <c r="H58" s="14" t="str">
        <f>IF(G58&gt;'(검증1)이상치 검정'!$G$3,"Alert","")</f>
        <v/>
      </c>
    </row>
    <row r="59" spans="1:8">
      <c r="A59" s="2" t="s">
        <v>9</v>
      </c>
      <c r="B59" s="2">
        <v>58</v>
      </c>
      <c r="C59" s="2" t="s">
        <v>27</v>
      </c>
      <c r="D59" s="3">
        <v>44.3</v>
      </c>
      <c r="E59" s="11">
        <v>44422.971655092595</v>
      </c>
      <c r="G59" s="6">
        <f>ABS((D59-'(검증1)이상치 검정'!$E$3)/'(검증1)이상치 검정'!$F$3)</f>
        <v>0.59568986636668952</v>
      </c>
      <c r="H59" s="14" t="str">
        <f>IF(G59&gt;'(검증1)이상치 검정'!$G$3,"Alert","")</f>
        <v/>
      </c>
    </row>
    <row r="60" spans="1:8">
      <c r="A60" s="2" t="s">
        <v>9</v>
      </c>
      <c r="B60" s="2">
        <v>59</v>
      </c>
      <c r="C60" s="2" t="s">
        <v>28</v>
      </c>
      <c r="D60" s="3">
        <v>44.2</v>
      </c>
      <c r="E60" s="11">
        <v>44422.972349537034</v>
      </c>
      <c r="G60" s="6">
        <f>ABS((D60-'(검증1)이상치 검정'!$E$3)/'(검증1)이상치 검정'!$F$3)</f>
        <v>0.78756001058964031</v>
      </c>
      <c r="H60" s="14" t="str">
        <f>IF(G60&gt;'(검증1)이상치 검정'!$G$3,"Alert","")</f>
        <v/>
      </c>
    </row>
    <row r="61" spans="1:8">
      <c r="A61" s="2" t="s">
        <v>9</v>
      </c>
      <c r="B61" s="2">
        <v>60</v>
      </c>
      <c r="C61" s="2" t="s">
        <v>29</v>
      </c>
      <c r="D61" s="3">
        <v>44.5</v>
      </c>
      <c r="E61" s="11">
        <v>44422.973043981481</v>
      </c>
      <c r="G61" s="6">
        <f>ABS((D61-'(검증1)이상치 검정'!$E$3)/'(검증1)이상치 검정'!$F$3)</f>
        <v>0.21194957792076072</v>
      </c>
      <c r="H61" s="14" t="str">
        <f>IF(G61&gt;'(검증1)이상치 검정'!$G$3,"Alert","")</f>
        <v/>
      </c>
    </row>
    <row r="62" spans="1:8">
      <c r="A62" s="2" t="s">
        <v>9</v>
      </c>
      <c r="B62" s="2">
        <v>61</v>
      </c>
      <c r="C62" s="2" t="s">
        <v>30</v>
      </c>
      <c r="D62" s="3">
        <v>44.3</v>
      </c>
      <c r="E62" s="11">
        <v>44422.973738425928</v>
      </c>
      <c r="G62" s="6">
        <f>ABS((D62-'(검증1)이상치 검정'!$E$3)/'(검증1)이상치 검정'!$F$3)</f>
        <v>0.59568986636668952</v>
      </c>
      <c r="H62" s="14" t="str">
        <f>IF(G62&gt;'(검증1)이상치 검정'!$G$3,"Alert","")</f>
        <v/>
      </c>
    </row>
    <row r="63" spans="1:8">
      <c r="A63" s="2" t="s">
        <v>9</v>
      </c>
      <c r="B63" s="2">
        <v>62</v>
      </c>
      <c r="C63" s="2" t="s">
        <v>31</v>
      </c>
      <c r="D63" s="3">
        <v>44.3</v>
      </c>
      <c r="E63" s="11">
        <v>44422.974432870367</v>
      </c>
      <c r="G63" s="6">
        <f>ABS((D63-'(검증1)이상치 검정'!$E$3)/'(검증1)이상치 검정'!$F$3)</f>
        <v>0.59568986636668952</v>
      </c>
      <c r="H63" s="14" t="str">
        <f>IF(G63&gt;'(검증1)이상치 검정'!$G$3,"Alert","")</f>
        <v/>
      </c>
    </row>
    <row r="64" spans="1:8">
      <c r="A64" s="2" t="s">
        <v>9</v>
      </c>
      <c r="B64" s="2">
        <v>63</v>
      </c>
      <c r="C64" s="2" t="s">
        <v>32</v>
      </c>
      <c r="D64" s="3">
        <v>44.3</v>
      </c>
      <c r="E64" s="11">
        <v>44422.975127314814</v>
      </c>
      <c r="G64" s="6">
        <f>ABS((D64-'(검증1)이상치 검정'!$E$3)/'(검증1)이상치 검정'!$F$3)</f>
        <v>0.59568986636668952</v>
      </c>
      <c r="H64" s="14" t="str">
        <f>IF(G64&gt;'(검증1)이상치 검정'!$G$3,"Alert","")</f>
        <v/>
      </c>
    </row>
    <row r="65" spans="1:8">
      <c r="A65" s="2" t="s">
        <v>9</v>
      </c>
      <c r="B65" s="2">
        <v>64</v>
      </c>
      <c r="C65" s="2" t="s">
        <v>33</v>
      </c>
      <c r="D65" s="3">
        <v>44.2</v>
      </c>
      <c r="E65" s="11">
        <v>44422.975821759261</v>
      </c>
      <c r="G65" s="6">
        <f>ABS((D65-'(검증1)이상치 검정'!$E$3)/'(검증1)이상치 검정'!$F$3)</f>
        <v>0.78756001058964031</v>
      </c>
      <c r="H65" s="14" t="str">
        <f>IF(G65&gt;'(검증1)이상치 검정'!$G$3,"Alert","")</f>
        <v/>
      </c>
    </row>
    <row r="66" spans="1:8">
      <c r="A66" s="2" t="s">
        <v>9</v>
      </c>
      <c r="B66" s="2">
        <v>65</v>
      </c>
      <c r="C66" s="2" t="s">
        <v>34</v>
      </c>
      <c r="D66" s="3">
        <v>44.2</v>
      </c>
      <c r="E66" s="11">
        <v>44422.9765162037</v>
      </c>
      <c r="G66" s="6">
        <f>ABS((D66-'(검증1)이상치 검정'!$E$3)/'(검증1)이상치 검정'!$F$3)</f>
        <v>0.78756001058964031</v>
      </c>
      <c r="H66" s="14" t="str">
        <f>IF(G66&gt;'(검증1)이상치 검정'!$G$3,"Alert","")</f>
        <v/>
      </c>
    </row>
    <row r="67" spans="1:8">
      <c r="A67" s="2" t="s">
        <v>9</v>
      </c>
      <c r="B67" s="2">
        <v>66</v>
      </c>
      <c r="C67" s="2" t="s">
        <v>35</v>
      </c>
      <c r="D67" s="3">
        <v>44.1</v>
      </c>
      <c r="E67" s="11">
        <v>44422.977210648147</v>
      </c>
      <c r="G67" s="6">
        <f>ABS((D67-'(검증1)이상치 검정'!$E$3)/'(검증1)이상치 검정'!$F$3)</f>
        <v>0.97943015481260465</v>
      </c>
      <c r="H67" s="14" t="str">
        <f>IF(G67&gt;'(검증1)이상치 검정'!$G$3,"Alert","")</f>
        <v/>
      </c>
    </row>
    <row r="68" spans="1:8">
      <c r="A68" s="2" t="s">
        <v>9</v>
      </c>
      <c r="B68" s="2">
        <v>67</v>
      </c>
      <c r="C68" s="2" t="s">
        <v>36</v>
      </c>
      <c r="D68" s="3">
        <v>44.1</v>
      </c>
      <c r="E68" s="11">
        <v>44422.977905092594</v>
      </c>
      <c r="G68" s="6">
        <f>ABS((D68-'(검증1)이상치 검정'!$E$3)/'(검증1)이상치 검정'!$F$3)</f>
        <v>0.97943015481260465</v>
      </c>
      <c r="H68" s="14" t="str">
        <f>IF(G68&gt;'(검증1)이상치 검정'!$G$3,"Alert","")</f>
        <v/>
      </c>
    </row>
    <row r="69" spans="1:8">
      <c r="A69" s="2" t="s">
        <v>9</v>
      </c>
      <c r="B69" s="2">
        <v>68</v>
      </c>
      <c r="C69" s="2" t="s">
        <v>37</v>
      </c>
      <c r="D69" s="3">
        <v>44.1</v>
      </c>
      <c r="E69" s="11">
        <v>44422.97859953704</v>
      </c>
      <c r="G69" s="6">
        <f>ABS((D69-'(검증1)이상치 검정'!$E$3)/'(검증1)이상치 검정'!$F$3)</f>
        <v>0.97943015481260465</v>
      </c>
      <c r="H69" s="14" t="str">
        <f>IF(G69&gt;'(검증1)이상치 검정'!$G$3,"Alert","")</f>
        <v/>
      </c>
    </row>
    <row r="70" spans="1:8">
      <c r="A70" s="2" t="s">
        <v>9</v>
      </c>
      <c r="B70" s="2">
        <v>69</v>
      </c>
      <c r="C70" s="2" t="s">
        <v>38</v>
      </c>
      <c r="D70" s="3">
        <v>44</v>
      </c>
      <c r="E70" s="11">
        <v>44422.97929398148</v>
      </c>
      <c r="G70" s="6">
        <f>ABS((D70-'(검증1)이상치 검정'!$E$3)/'(검증1)이상치 검정'!$F$3)</f>
        <v>1.171300299035569</v>
      </c>
      <c r="H70" s="14" t="str">
        <f>IF(G70&gt;'(검증1)이상치 검정'!$G$3,"Alert","")</f>
        <v/>
      </c>
    </row>
    <row r="71" spans="1:8">
      <c r="A71" s="2" t="s">
        <v>9</v>
      </c>
      <c r="B71" s="2">
        <v>70</v>
      </c>
      <c r="C71" s="2" t="s">
        <v>39</v>
      </c>
      <c r="D71" s="3">
        <v>44</v>
      </c>
      <c r="E71" s="11">
        <v>44422.979988425926</v>
      </c>
      <c r="G71" s="6">
        <f>ABS((D71-'(검증1)이상치 검정'!$E$3)/'(검증1)이상치 검정'!$F$3)</f>
        <v>1.171300299035569</v>
      </c>
      <c r="H71" s="14" t="str">
        <f>IF(G71&gt;'(검증1)이상치 검정'!$G$3,"Alert","")</f>
        <v/>
      </c>
    </row>
    <row r="72" spans="1:8">
      <c r="A72" s="2" t="s">
        <v>9</v>
      </c>
      <c r="B72" s="2">
        <v>71</v>
      </c>
      <c r="C72" s="2" t="s">
        <v>40</v>
      </c>
      <c r="D72" s="3">
        <v>43.9</v>
      </c>
      <c r="E72" s="11">
        <v>44422.980682870373</v>
      </c>
      <c r="G72" s="6">
        <f>ABS((D72-'(검증1)이상치 검정'!$E$3)/'(검증1)이상치 검정'!$F$3)</f>
        <v>1.3631704432585334</v>
      </c>
      <c r="H72" s="14" t="str">
        <f>IF(G72&gt;'(검증1)이상치 검정'!$G$3,"Alert","")</f>
        <v/>
      </c>
    </row>
    <row r="73" spans="1:8">
      <c r="A73" s="2" t="s">
        <v>9</v>
      </c>
      <c r="B73" s="2">
        <v>72</v>
      </c>
      <c r="C73" s="2" t="s">
        <v>41</v>
      </c>
      <c r="D73" s="3">
        <v>43.9</v>
      </c>
      <c r="E73" s="11">
        <v>44422.981377314813</v>
      </c>
      <c r="G73" s="6">
        <f>ABS((D73-'(검증1)이상치 검정'!$E$3)/'(검증1)이상치 검정'!$F$3)</f>
        <v>1.3631704432585334</v>
      </c>
      <c r="H73" s="14" t="str">
        <f>IF(G73&gt;'(검증1)이상치 검정'!$G$3,"Alert","")</f>
        <v/>
      </c>
    </row>
    <row r="74" spans="1:8">
      <c r="A74" s="2" t="s">
        <v>9</v>
      </c>
      <c r="B74" s="2">
        <v>73</v>
      </c>
      <c r="C74" s="2" t="s">
        <v>42</v>
      </c>
      <c r="D74" s="3">
        <v>43.9</v>
      </c>
      <c r="E74" s="11">
        <v>44422.982071759259</v>
      </c>
      <c r="G74" s="6">
        <f>ABS((D74-'(검증1)이상치 검정'!$E$3)/'(검증1)이상치 검정'!$F$3)</f>
        <v>1.3631704432585334</v>
      </c>
      <c r="H74" s="14" t="str">
        <f>IF(G74&gt;'(검증1)이상치 검정'!$G$3,"Alert","")</f>
        <v/>
      </c>
    </row>
    <row r="75" spans="1:8">
      <c r="A75" s="2" t="s">
        <v>9</v>
      </c>
      <c r="B75" s="2">
        <v>74</v>
      </c>
      <c r="C75" s="2" t="s">
        <v>43</v>
      </c>
      <c r="D75" s="3">
        <v>43.7</v>
      </c>
      <c r="E75" s="11">
        <v>44422.982766203706</v>
      </c>
      <c r="G75" s="6">
        <f>ABS((D75-'(검증1)이상치 검정'!$E$3)/'(검증1)이상치 검정'!$F$3)</f>
        <v>1.7469107317044485</v>
      </c>
      <c r="H75" s="14" t="str">
        <f>IF(G75&gt;'(검증1)이상치 검정'!$G$3,"Alert","")</f>
        <v>Alert</v>
      </c>
    </row>
    <row r="76" spans="1:8">
      <c r="A76" s="2" t="s">
        <v>9</v>
      </c>
      <c r="B76" s="2">
        <v>75</v>
      </c>
      <c r="C76" s="2" t="s">
        <v>44</v>
      </c>
      <c r="D76" s="3">
        <v>43.8</v>
      </c>
      <c r="E76" s="11">
        <v>44422.983460648145</v>
      </c>
      <c r="G76" s="6">
        <f>ABS((D76-'(검증1)이상치 검정'!$E$3)/'(검증1)이상치 검정'!$F$3)</f>
        <v>1.5550405874814979</v>
      </c>
      <c r="H76" s="14" t="str">
        <f>IF(G76&gt;'(검증1)이상치 검정'!$G$3,"Alert","")</f>
        <v/>
      </c>
    </row>
    <row r="77" spans="1:8" s="5" customFormat="1">
      <c r="A77" s="2" t="s">
        <v>9</v>
      </c>
      <c r="B77" s="2">
        <v>76</v>
      </c>
      <c r="C77" s="2" t="s">
        <v>95</v>
      </c>
      <c r="D77" s="3">
        <v>43.8</v>
      </c>
      <c r="E77" s="11">
        <v>44422.984155092592</v>
      </c>
      <c r="F77" s="6"/>
      <c r="G77" s="6">
        <f>ABS((D77-'(검증1)이상치 검정'!$E$3)/'(검증1)이상치 검정'!$F$3)</f>
        <v>1.5550405874814979</v>
      </c>
      <c r="H77" s="14" t="str">
        <f>IF(G77&gt;'(검증1)이상치 검정'!$G$3,"Alert","")</f>
        <v/>
      </c>
    </row>
    <row r="78" spans="1:8" s="5" customFormat="1">
      <c r="A78" s="2" t="s">
        <v>9</v>
      </c>
      <c r="B78" s="2">
        <v>77</v>
      </c>
      <c r="C78" s="2" t="s">
        <v>96</v>
      </c>
      <c r="D78" s="3">
        <v>43.8</v>
      </c>
      <c r="E78" s="11">
        <v>44422.984849537039</v>
      </c>
      <c r="F78" s="6"/>
      <c r="G78" s="6">
        <f>ABS((D78-'(검증1)이상치 검정'!$E$3)/'(검증1)이상치 검정'!$F$3)</f>
        <v>1.5550405874814979</v>
      </c>
      <c r="H78" s="14" t="str">
        <f>IF(G78&gt;'(검증1)이상치 검정'!$G$3,"Alert","")</f>
        <v/>
      </c>
    </row>
    <row r="79" spans="1:8" s="5" customFormat="1">
      <c r="A79" s="2" t="s">
        <v>9</v>
      </c>
      <c r="B79" s="2">
        <v>78</v>
      </c>
      <c r="C79" s="2" t="s">
        <v>97</v>
      </c>
      <c r="D79" s="3">
        <v>43.8</v>
      </c>
      <c r="E79" s="11">
        <v>44422.985543981478</v>
      </c>
      <c r="F79" s="6"/>
      <c r="G79" s="6">
        <f>ABS((D79-'(검증1)이상치 검정'!$E$3)/'(검증1)이상치 검정'!$F$3)</f>
        <v>1.5550405874814979</v>
      </c>
      <c r="H79" s="14" t="str">
        <f>IF(G79&gt;'(검증1)이상치 검정'!$G$3,"Alert","")</f>
        <v/>
      </c>
    </row>
    <row r="80" spans="1:8" s="5" customFormat="1">
      <c r="A80" s="2" t="s">
        <v>9</v>
      </c>
      <c r="B80" s="2">
        <v>79</v>
      </c>
      <c r="C80" s="2" t="s">
        <v>98</v>
      </c>
      <c r="D80" s="3">
        <v>43.8</v>
      </c>
      <c r="E80" s="11">
        <v>44422.986238425925</v>
      </c>
      <c r="F80" s="6"/>
      <c r="G80" s="6">
        <f>ABS((D80-'(검증1)이상치 검정'!$E$3)/'(검증1)이상치 검정'!$F$3)</f>
        <v>1.5550405874814979</v>
      </c>
      <c r="H80" s="14" t="str">
        <f>IF(G80&gt;'(검증1)이상치 검정'!$G$3,"Alert","")</f>
        <v/>
      </c>
    </row>
    <row r="81" spans="1:8" s="5" customFormat="1">
      <c r="A81" s="2" t="s">
        <v>9</v>
      </c>
      <c r="B81" s="2">
        <v>80</v>
      </c>
      <c r="C81" s="2" t="s">
        <v>99</v>
      </c>
      <c r="D81" s="3">
        <v>43.8</v>
      </c>
      <c r="E81" s="11">
        <v>44422.986932870372</v>
      </c>
      <c r="F81" s="6"/>
      <c r="G81" s="6">
        <f>ABS((D81-'(검증1)이상치 검정'!$E$3)/'(검증1)이상치 검정'!$F$3)</f>
        <v>1.5550405874814979</v>
      </c>
      <c r="H81" s="14" t="str">
        <f>IF(G81&gt;'(검증1)이상치 검정'!$G$3,"Alert","")</f>
        <v/>
      </c>
    </row>
    <row r="82" spans="1:8" s="5" customFormat="1">
      <c r="A82" s="2" t="s">
        <v>9</v>
      </c>
      <c r="B82" s="2">
        <v>81</v>
      </c>
      <c r="C82" s="2" t="s">
        <v>100</v>
      </c>
      <c r="D82" s="3">
        <v>43.8</v>
      </c>
      <c r="E82" s="11">
        <v>44422.987627314818</v>
      </c>
      <c r="F82" s="6"/>
      <c r="G82" s="6">
        <f>ABS((D82-'(검증1)이상치 검정'!$E$3)/'(검증1)이상치 검정'!$F$3)</f>
        <v>1.5550405874814979</v>
      </c>
      <c r="H82" s="14" t="str">
        <f>IF(G82&gt;'(검증1)이상치 검정'!$G$3,"Alert","")</f>
        <v/>
      </c>
    </row>
    <row r="83" spans="1:8" s="5" customFormat="1">
      <c r="A83" s="2" t="s">
        <v>9</v>
      </c>
      <c r="B83" s="2">
        <v>82</v>
      </c>
      <c r="C83" s="2" t="s">
        <v>101</v>
      </c>
      <c r="D83" s="3">
        <v>43.8</v>
      </c>
      <c r="E83" s="11">
        <v>44422.988321759258</v>
      </c>
      <c r="F83" s="6"/>
      <c r="G83" s="6">
        <f>ABS((D83-'(검증1)이상치 검정'!$E$3)/'(검증1)이상치 검정'!$F$3)</f>
        <v>1.5550405874814979</v>
      </c>
      <c r="H83" s="14" t="str">
        <f>IF(G83&gt;'(검증1)이상치 검정'!$G$3,"Alert","")</f>
        <v/>
      </c>
    </row>
    <row r="84" spans="1:8" s="5" customFormat="1">
      <c r="A84" s="2" t="s">
        <v>9</v>
      </c>
      <c r="B84" s="2">
        <v>83</v>
      </c>
      <c r="C84" s="2" t="s">
        <v>102</v>
      </c>
      <c r="D84" s="3">
        <v>43.8</v>
      </c>
      <c r="E84" s="11">
        <v>44422.989016203705</v>
      </c>
      <c r="F84" s="6"/>
      <c r="G84" s="6">
        <f>ABS((D84-'(검증1)이상치 검정'!$E$3)/'(검증1)이상치 검정'!$F$3)</f>
        <v>1.5550405874814979</v>
      </c>
      <c r="H84" s="14" t="str">
        <f>IF(G84&gt;'(검증1)이상치 검정'!$G$3,"Alert","")</f>
        <v/>
      </c>
    </row>
    <row r="85" spans="1:8" s="5" customFormat="1">
      <c r="A85" s="2" t="s">
        <v>9</v>
      </c>
      <c r="B85" s="2">
        <v>84</v>
      </c>
      <c r="C85" s="2" t="s">
        <v>103</v>
      </c>
      <c r="D85" s="3">
        <v>43.7</v>
      </c>
      <c r="E85" s="11">
        <v>44422.989710648151</v>
      </c>
      <c r="F85" s="6"/>
      <c r="G85" s="6">
        <f>ABS((D85-'(검증1)이상치 검정'!$E$3)/'(검증1)이상치 검정'!$F$3)</f>
        <v>1.7469107317044485</v>
      </c>
      <c r="H85" s="14" t="str">
        <f>IF(G85&gt;'(검증1)이상치 검정'!$G$3,"Alert","")</f>
        <v>Alert</v>
      </c>
    </row>
    <row r="86" spans="1:8" s="5" customFormat="1">
      <c r="A86" s="2" t="s">
        <v>9</v>
      </c>
      <c r="B86" s="2">
        <v>85</v>
      </c>
      <c r="C86" s="2" t="s">
        <v>104</v>
      </c>
      <c r="D86" s="3">
        <v>43.8</v>
      </c>
      <c r="E86" s="11">
        <v>44422.990405092591</v>
      </c>
      <c r="F86" s="6"/>
      <c r="G86" s="6">
        <f>ABS((D86-'(검증1)이상치 검정'!$E$3)/'(검증1)이상치 검정'!$F$3)</f>
        <v>1.5550405874814979</v>
      </c>
      <c r="H86" s="14" t="str">
        <f>IF(G86&gt;'(검증1)이상치 검정'!$G$3,"Alert","")</f>
        <v/>
      </c>
    </row>
    <row r="87" spans="1:8" s="5" customFormat="1">
      <c r="A87" s="2" t="s">
        <v>9</v>
      </c>
      <c r="B87" s="2">
        <v>86</v>
      </c>
      <c r="C87" s="2" t="s">
        <v>105</v>
      </c>
      <c r="D87" s="3">
        <v>43.7</v>
      </c>
      <c r="E87" s="11">
        <v>44422.991099537037</v>
      </c>
      <c r="F87" s="6"/>
      <c r="G87" s="6">
        <f>ABS((D87-'(검증1)이상치 검정'!$E$3)/'(검증1)이상치 검정'!$F$3)</f>
        <v>1.7469107317044485</v>
      </c>
      <c r="H87" s="14" t="str">
        <f>IF(G87&gt;'(검증1)이상치 검정'!$G$3,"Alert","")</f>
        <v>Alert</v>
      </c>
    </row>
    <row r="88" spans="1:8" s="9" customFormat="1">
      <c r="A88" s="7" t="s">
        <v>12</v>
      </c>
      <c r="B88" s="7">
        <v>1</v>
      </c>
      <c r="C88" s="7" t="s">
        <v>45</v>
      </c>
      <c r="D88" s="8">
        <v>48.8</v>
      </c>
      <c r="E88" s="12">
        <v>44422.932071759256</v>
      </c>
      <c r="G88" s="9">
        <f>ABS((D88-'(검증1)이상치 검정'!$E$4)/'(검증1)이상치 검정'!$F$4)</f>
        <v>0.75710071430381487</v>
      </c>
      <c r="H88" s="15" t="str">
        <f>IF(G88&gt;'(검증1)이상치 검정'!$G$4,"Alert","")</f>
        <v/>
      </c>
    </row>
    <row r="89" spans="1:8" s="9" customFormat="1">
      <c r="A89" s="7" t="s">
        <v>12</v>
      </c>
      <c r="B89" s="7">
        <v>2</v>
      </c>
      <c r="C89" s="7" t="s">
        <v>46</v>
      </c>
      <c r="D89" s="8">
        <v>48.7</v>
      </c>
      <c r="E89" s="12">
        <v>44422.932766203703</v>
      </c>
      <c r="G89" s="9">
        <f>ABS((D89-'(검증1)이상치 검정'!$E$4)/'(검증1)이상치 검정'!$F$4)</f>
        <v>0.90083285874116714</v>
      </c>
      <c r="H89" s="15" t="str">
        <f>IF(G89&gt;'(검증1)이상치 검정'!$G$4,"Alert","")</f>
        <v/>
      </c>
    </row>
    <row r="90" spans="1:8" s="9" customFormat="1">
      <c r="A90" s="7" t="s">
        <v>12</v>
      </c>
      <c r="B90" s="7">
        <v>3</v>
      </c>
      <c r="C90" s="7" t="s">
        <v>47</v>
      </c>
      <c r="D90" s="8">
        <v>48.7</v>
      </c>
      <c r="E90" s="12">
        <v>44422.93346064815</v>
      </c>
      <c r="G90" s="9">
        <f>ABS((D90-'(검증1)이상치 검정'!$E$4)/'(검증1)이상치 검정'!$F$4)</f>
        <v>0.90083285874116714</v>
      </c>
      <c r="H90" s="15" t="str">
        <f>IF(G90&gt;'(검증1)이상치 검정'!$G$4,"Alert","")</f>
        <v/>
      </c>
    </row>
    <row r="91" spans="1:8" s="9" customFormat="1">
      <c r="A91" s="7" t="s">
        <v>12</v>
      </c>
      <c r="B91" s="7">
        <v>4</v>
      </c>
      <c r="C91" s="7" t="s">
        <v>48</v>
      </c>
      <c r="D91" s="8">
        <v>48.8</v>
      </c>
      <c r="E91" s="12">
        <v>44422.934155092589</v>
      </c>
      <c r="G91" s="9">
        <f>ABS((D91-'(검증1)이상치 검정'!$E$4)/'(검증1)이상치 검정'!$F$4)</f>
        <v>0.75710071430381487</v>
      </c>
      <c r="H91" s="15" t="str">
        <f>IF(G91&gt;'(검증1)이상치 검정'!$G$4,"Alert","")</f>
        <v/>
      </c>
    </row>
    <row r="92" spans="1:8" s="9" customFormat="1">
      <c r="A92" s="7" t="s">
        <v>12</v>
      </c>
      <c r="B92" s="7">
        <v>5</v>
      </c>
      <c r="C92" s="7" t="s">
        <v>49</v>
      </c>
      <c r="D92" s="8">
        <v>48.6</v>
      </c>
      <c r="E92" s="12">
        <v>44422.934849537036</v>
      </c>
      <c r="G92" s="9">
        <f>ABS((D92-'(검증1)이상치 검정'!$E$4)/'(검증1)이상치 검정'!$F$4)</f>
        <v>1.0445650031785296</v>
      </c>
      <c r="H92" s="15" t="str">
        <f>IF(G92&gt;'(검증1)이상치 검정'!$G$4,"Alert","")</f>
        <v/>
      </c>
    </row>
    <row r="93" spans="1:8" s="9" customFormat="1">
      <c r="A93" s="7" t="s">
        <v>12</v>
      </c>
      <c r="B93" s="7">
        <v>6</v>
      </c>
      <c r="C93" s="7" t="s">
        <v>50</v>
      </c>
      <c r="D93" s="8">
        <v>48.6</v>
      </c>
      <c r="E93" s="12">
        <v>44422.935543981483</v>
      </c>
      <c r="G93" s="9">
        <f>ABS((D93-'(검증1)이상치 검정'!$E$4)/'(검증1)이상치 검정'!$F$4)</f>
        <v>1.0445650031785296</v>
      </c>
      <c r="H93" s="15" t="str">
        <f>IF(G93&gt;'(검증1)이상치 검정'!$G$4,"Alert","")</f>
        <v/>
      </c>
    </row>
    <row r="94" spans="1:8" s="9" customFormat="1">
      <c r="A94" s="7" t="s">
        <v>12</v>
      </c>
      <c r="B94" s="7">
        <v>7</v>
      </c>
      <c r="C94" s="7" t="s">
        <v>51</v>
      </c>
      <c r="D94" s="8">
        <v>48.6</v>
      </c>
      <c r="E94" s="12">
        <v>44422.936238425929</v>
      </c>
      <c r="G94" s="9">
        <f>ABS((D94-'(검증1)이상치 검정'!$E$4)/'(검증1)이상치 검정'!$F$4)</f>
        <v>1.0445650031785296</v>
      </c>
      <c r="H94" s="15" t="str">
        <f>IF(G94&gt;'(검증1)이상치 검정'!$G$4,"Alert","")</f>
        <v/>
      </c>
    </row>
    <row r="95" spans="1:8" s="9" customFormat="1">
      <c r="A95" s="7" t="s">
        <v>12</v>
      </c>
      <c r="B95" s="7">
        <v>8</v>
      </c>
      <c r="C95" s="7" t="s">
        <v>52</v>
      </c>
      <c r="D95" s="8">
        <v>48.6</v>
      </c>
      <c r="E95" s="12">
        <v>44422.936932870369</v>
      </c>
      <c r="G95" s="9">
        <f>ABS((D95-'(검증1)이상치 검정'!$E$4)/'(검증1)이상치 검정'!$F$4)</f>
        <v>1.0445650031785296</v>
      </c>
      <c r="H95" s="15" t="str">
        <f>IF(G95&gt;'(검증1)이상치 검정'!$G$4,"Alert","")</f>
        <v/>
      </c>
    </row>
    <row r="96" spans="1:8" s="9" customFormat="1">
      <c r="A96" s="7" t="s">
        <v>12</v>
      </c>
      <c r="B96" s="7">
        <v>9</v>
      </c>
      <c r="C96" s="7" t="s">
        <v>53</v>
      </c>
      <c r="D96" s="8">
        <v>48.6</v>
      </c>
      <c r="E96" s="12">
        <v>44422.937627314815</v>
      </c>
      <c r="G96" s="9">
        <f>ABS((D96-'(검증1)이상치 검정'!$E$4)/'(검증1)이상치 검정'!$F$4)</f>
        <v>1.0445650031785296</v>
      </c>
      <c r="H96" s="15" t="str">
        <f>IF(G96&gt;'(검증1)이상치 검정'!$G$4,"Alert","")</f>
        <v/>
      </c>
    </row>
    <row r="97" spans="1:8" s="9" customFormat="1">
      <c r="A97" s="7" t="s">
        <v>12</v>
      </c>
      <c r="B97" s="7">
        <v>10</v>
      </c>
      <c r="C97" s="7" t="s">
        <v>54</v>
      </c>
      <c r="D97" s="8">
        <v>49</v>
      </c>
      <c r="E97" s="12">
        <v>44422.938321759262</v>
      </c>
      <c r="G97" s="9">
        <f>ABS((D97-'(검증1)이상치 검정'!$E$4)/'(검증1)이상치 검정'!$F$4)</f>
        <v>0.46963642542909001</v>
      </c>
      <c r="H97" s="15" t="str">
        <f>IF(G97&gt;'(검증1)이상치 검정'!$G$4,"Alert","")</f>
        <v/>
      </c>
    </row>
    <row r="98" spans="1:8" s="9" customFormat="1">
      <c r="A98" s="7" t="s">
        <v>12</v>
      </c>
      <c r="B98" s="7">
        <v>11</v>
      </c>
      <c r="C98" s="7" t="s">
        <v>55</v>
      </c>
      <c r="D98" s="8">
        <v>49</v>
      </c>
      <c r="E98" s="12">
        <v>44422.939016203702</v>
      </c>
      <c r="G98" s="9">
        <f>ABS((D98-'(검증1)이상치 검정'!$E$4)/'(검증1)이상치 검정'!$F$4)</f>
        <v>0.46963642542909001</v>
      </c>
      <c r="H98" s="15" t="str">
        <f>IF(G98&gt;'(검증1)이상치 검정'!$G$4,"Alert","")</f>
        <v/>
      </c>
    </row>
    <row r="99" spans="1:8" s="9" customFormat="1">
      <c r="A99" s="7" t="s">
        <v>12</v>
      </c>
      <c r="B99" s="7">
        <v>12</v>
      </c>
      <c r="C99" s="7" t="s">
        <v>56</v>
      </c>
      <c r="D99" s="8">
        <v>48.8</v>
      </c>
      <c r="E99" s="12">
        <v>44422.939710648148</v>
      </c>
      <c r="G99" s="9">
        <f>ABS((D99-'(검증1)이상치 검정'!$E$4)/'(검증1)이상치 검정'!$F$4)</f>
        <v>0.75710071430381487</v>
      </c>
      <c r="H99" s="15" t="str">
        <f>IF(G99&gt;'(검증1)이상치 검정'!$G$4,"Alert","")</f>
        <v/>
      </c>
    </row>
    <row r="100" spans="1:8" s="9" customFormat="1">
      <c r="A100" s="7" t="s">
        <v>12</v>
      </c>
      <c r="B100" s="7">
        <v>13</v>
      </c>
      <c r="C100" s="7" t="s">
        <v>57</v>
      </c>
      <c r="D100" s="8">
        <v>48.8</v>
      </c>
      <c r="E100" s="12">
        <v>44422.940405092595</v>
      </c>
      <c r="G100" s="9">
        <f>ABS((D100-'(검증1)이상치 검정'!$E$4)/'(검증1)이상치 검정'!$F$4)</f>
        <v>0.75710071430381487</v>
      </c>
      <c r="H100" s="15" t="str">
        <f>IF(G100&gt;'(검증1)이상치 검정'!$G$4,"Alert","")</f>
        <v/>
      </c>
    </row>
    <row r="101" spans="1:8" s="9" customFormat="1">
      <c r="A101" s="7" t="s">
        <v>12</v>
      </c>
      <c r="B101" s="7">
        <v>14</v>
      </c>
      <c r="C101" s="7" t="s">
        <v>58</v>
      </c>
      <c r="D101" s="8">
        <v>48.7</v>
      </c>
      <c r="E101" s="12">
        <v>44422.941099537034</v>
      </c>
      <c r="G101" s="9">
        <f>ABS((D101-'(검증1)이상치 검정'!$E$4)/'(검증1)이상치 검정'!$F$4)</f>
        <v>0.90083285874116714</v>
      </c>
      <c r="H101" s="15" t="str">
        <f>IF(G101&gt;'(검증1)이상치 검정'!$G$4,"Alert","")</f>
        <v/>
      </c>
    </row>
    <row r="102" spans="1:8" s="9" customFormat="1">
      <c r="A102" s="7" t="s">
        <v>12</v>
      </c>
      <c r="B102" s="7">
        <v>15</v>
      </c>
      <c r="C102" s="7" t="s">
        <v>59</v>
      </c>
      <c r="D102" s="8">
        <v>48.8</v>
      </c>
      <c r="E102" s="12">
        <v>44422.941793981481</v>
      </c>
      <c r="G102" s="9">
        <f>ABS((D102-'(검증1)이상치 검정'!$E$4)/'(검증1)이상치 검정'!$F$4)</f>
        <v>0.75710071430381487</v>
      </c>
      <c r="H102" s="15" t="str">
        <f>IF(G102&gt;'(검증1)이상치 검정'!$G$4,"Alert","")</f>
        <v/>
      </c>
    </row>
    <row r="103" spans="1:8" s="9" customFormat="1">
      <c r="A103" s="7" t="s">
        <v>12</v>
      </c>
      <c r="B103" s="7">
        <v>16</v>
      </c>
      <c r="C103" s="7" t="s">
        <v>60</v>
      </c>
      <c r="D103" s="8">
        <v>48.6</v>
      </c>
      <c r="E103" s="12">
        <v>44422.942488425928</v>
      </c>
      <c r="G103" s="9">
        <f>ABS((D103-'(검증1)이상치 검정'!$E$4)/'(검증1)이상치 검정'!$F$4)</f>
        <v>1.0445650031785296</v>
      </c>
      <c r="H103" s="15" t="str">
        <f>IF(G103&gt;'(검증1)이상치 검정'!$G$4,"Alert","")</f>
        <v/>
      </c>
    </row>
    <row r="104" spans="1:8" s="9" customFormat="1">
      <c r="A104" s="7" t="s">
        <v>12</v>
      </c>
      <c r="B104" s="7">
        <v>17</v>
      </c>
      <c r="C104" s="7" t="s">
        <v>61</v>
      </c>
      <c r="D104" s="8">
        <v>48.4</v>
      </c>
      <c r="E104" s="12">
        <v>44422.943182870367</v>
      </c>
      <c r="G104" s="9">
        <f>ABS((D104-'(검증1)이상치 검정'!$E$4)/'(검증1)이상치 검정'!$F$4)</f>
        <v>1.3320292920532546</v>
      </c>
      <c r="H104" s="15" t="str">
        <f>IF(G104&gt;'(검증1)이상치 검정'!$G$4,"Alert","")</f>
        <v/>
      </c>
    </row>
    <row r="105" spans="1:8" s="9" customFormat="1">
      <c r="A105" s="7" t="s">
        <v>12</v>
      </c>
      <c r="B105" s="7">
        <v>18</v>
      </c>
      <c r="C105" s="7" t="s">
        <v>62</v>
      </c>
      <c r="D105" s="8">
        <v>48.7</v>
      </c>
      <c r="E105" s="12">
        <v>44422.943877314814</v>
      </c>
      <c r="G105" s="9">
        <f>ABS((D105-'(검증1)이상치 검정'!$E$4)/'(검증1)이상치 검정'!$F$4)</f>
        <v>0.90083285874116714</v>
      </c>
      <c r="H105" s="15" t="str">
        <f>IF(G105&gt;'(검증1)이상치 검정'!$G$4,"Alert","")</f>
        <v/>
      </c>
    </row>
    <row r="106" spans="1:8" s="9" customFormat="1">
      <c r="A106" s="7" t="s">
        <v>12</v>
      </c>
      <c r="B106" s="7">
        <v>19</v>
      </c>
      <c r="C106" s="7" t="s">
        <v>63</v>
      </c>
      <c r="D106" s="8">
        <v>48.7</v>
      </c>
      <c r="E106" s="12">
        <v>44422.944571759261</v>
      </c>
      <c r="G106" s="9">
        <f>ABS((D106-'(검증1)이상치 검정'!$E$4)/'(검증1)이상치 검정'!$F$4)</f>
        <v>0.90083285874116714</v>
      </c>
      <c r="H106" s="15" t="str">
        <f>IF(G106&gt;'(검증1)이상치 검정'!$G$4,"Alert","")</f>
        <v/>
      </c>
    </row>
    <row r="107" spans="1:8" s="9" customFormat="1">
      <c r="A107" s="7" t="s">
        <v>12</v>
      </c>
      <c r="B107" s="7">
        <v>20</v>
      </c>
      <c r="C107" s="7" t="s">
        <v>64</v>
      </c>
      <c r="D107" s="8">
        <v>48.7</v>
      </c>
      <c r="E107" s="12">
        <v>44422.9452662037</v>
      </c>
      <c r="G107" s="9">
        <f>ABS((D107-'(검증1)이상치 검정'!$E$4)/'(검증1)이상치 검정'!$F$4)</f>
        <v>0.90083285874116714</v>
      </c>
      <c r="H107" s="15" t="str">
        <f>IF(G107&gt;'(검증1)이상치 검정'!$G$4,"Alert","")</f>
        <v/>
      </c>
    </row>
    <row r="108" spans="1:8" s="9" customFormat="1">
      <c r="A108" s="7" t="s">
        <v>12</v>
      </c>
      <c r="B108" s="7">
        <v>21</v>
      </c>
      <c r="C108" s="7" t="s">
        <v>65</v>
      </c>
      <c r="D108" s="8">
        <v>48.7</v>
      </c>
      <c r="E108" s="12">
        <v>44422.945960648147</v>
      </c>
      <c r="G108" s="9">
        <f>ABS((D108-'(검증1)이상치 검정'!$E$4)/'(검증1)이상치 검정'!$F$4)</f>
        <v>0.90083285874116714</v>
      </c>
      <c r="H108" s="15" t="str">
        <f>IF(G108&gt;'(검증1)이상치 검정'!$G$4,"Alert","")</f>
        <v/>
      </c>
    </row>
    <row r="109" spans="1:8" s="9" customFormat="1">
      <c r="A109" s="7" t="s">
        <v>12</v>
      </c>
      <c r="B109" s="7">
        <v>22</v>
      </c>
      <c r="C109" s="7" t="s">
        <v>66</v>
      </c>
      <c r="D109" s="8">
        <v>48.6</v>
      </c>
      <c r="E109" s="12">
        <v>44422.946655092594</v>
      </c>
      <c r="G109" s="9">
        <f>ABS((D109-'(검증1)이상치 검정'!$E$4)/'(검증1)이상치 검정'!$F$4)</f>
        <v>1.0445650031785296</v>
      </c>
      <c r="H109" s="15" t="str">
        <f>IF(G109&gt;'(검증1)이상치 검정'!$G$4,"Alert","")</f>
        <v/>
      </c>
    </row>
    <row r="110" spans="1:8" s="9" customFormat="1">
      <c r="A110" s="7" t="s">
        <v>12</v>
      </c>
      <c r="B110" s="7">
        <v>23</v>
      </c>
      <c r="C110" s="7" t="s">
        <v>67</v>
      </c>
      <c r="D110" s="8">
        <v>48.6</v>
      </c>
      <c r="E110" s="12">
        <v>44422.94734953704</v>
      </c>
      <c r="G110" s="9">
        <f>ABS((D110-'(검증1)이상치 검정'!$E$4)/'(검증1)이상치 검정'!$F$4)</f>
        <v>1.0445650031785296</v>
      </c>
      <c r="H110" s="15" t="str">
        <f>IF(G110&gt;'(검증1)이상치 검정'!$G$4,"Alert","")</f>
        <v/>
      </c>
    </row>
    <row r="111" spans="1:8" s="9" customFormat="1">
      <c r="A111" s="7" t="s">
        <v>12</v>
      </c>
      <c r="B111" s="7">
        <v>24</v>
      </c>
      <c r="C111" s="7" t="s">
        <v>68</v>
      </c>
      <c r="D111" s="8">
        <v>48.6</v>
      </c>
      <c r="E111" s="12">
        <v>44422.94804398148</v>
      </c>
      <c r="G111" s="9">
        <f>ABS((D111-'(검증1)이상치 검정'!$E$4)/'(검증1)이상치 검정'!$F$4)</f>
        <v>1.0445650031785296</v>
      </c>
      <c r="H111" s="15" t="str">
        <f>IF(G111&gt;'(검증1)이상치 검정'!$G$4,"Alert","")</f>
        <v/>
      </c>
    </row>
    <row r="112" spans="1:8" s="9" customFormat="1">
      <c r="A112" s="7" t="s">
        <v>12</v>
      </c>
      <c r="B112" s="7">
        <v>25</v>
      </c>
      <c r="C112" s="7" t="s">
        <v>69</v>
      </c>
      <c r="D112" s="8">
        <v>48.6</v>
      </c>
      <c r="E112" s="12">
        <v>44422.948738425926</v>
      </c>
      <c r="G112" s="9">
        <f>ABS((D112-'(검증1)이상치 검정'!$E$4)/'(검증1)이상치 검정'!$F$4)</f>
        <v>1.0445650031785296</v>
      </c>
      <c r="H112" s="15" t="str">
        <f>IF(G112&gt;'(검증1)이상치 검정'!$G$4,"Alert","")</f>
        <v/>
      </c>
    </row>
    <row r="113" spans="1:8" s="9" customFormat="1">
      <c r="A113" s="7" t="s">
        <v>12</v>
      </c>
      <c r="B113" s="7">
        <v>26</v>
      </c>
      <c r="C113" s="7" t="s">
        <v>70</v>
      </c>
      <c r="D113" s="8">
        <v>48.7</v>
      </c>
      <c r="E113" s="12">
        <v>44422.949432870373</v>
      </c>
      <c r="G113" s="9">
        <f>ABS((D113-'(검증1)이상치 검정'!$E$4)/'(검증1)이상치 검정'!$F$4)</f>
        <v>0.90083285874116714</v>
      </c>
      <c r="H113" s="15" t="str">
        <f>IF(G113&gt;'(검증1)이상치 검정'!$G$4,"Alert","")</f>
        <v/>
      </c>
    </row>
    <row r="114" spans="1:8" s="9" customFormat="1">
      <c r="A114" s="7" t="s">
        <v>12</v>
      </c>
      <c r="B114" s="7">
        <v>27</v>
      </c>
      <c r="C114" s="7" t="s">
        <v>71</v>
      </c>
      <c r="D114" s="8">
        <v>48.4</v>
      </c>
      <c r="E114" s="12">
        <v>44422.950127314813</v>
      </c>
      <c r="G114" s="9">
        <f>ABS((D114-'(검증1)이상치 검정'!$E$4)/'(검증1)이상치 검정'!$F$4)</f>
        <v>1.3320292920532546</v>
      </c>
      <c r="H114" s="15" t="str">
        <f>IF(G114&gt;'(검증1)이상치 검정'!$G$4,"Alert","")</f>
        <v/>
      </c>
    </row>
    <row r="115" spans="1:8" s="9" customFormat="1">
      <c r="A115" s="7" t="s">
        <v>12</v>
      </c>
      <c r="B115" s="7">
        <v>28</v>
      </c>
      <c r="C115" s="7" t="s">
        <v>72</v>
      </c>
      <c r="D115" s="8">
        <v>48.8</v>
      </c>
      <c r="E115" s="12">
        <v>44422.950821759259</v>
      </c>
      <c r="G115" s="9">
        <f>ABS((D115-'(검증1)이상치 검정'!$E$4)/'(검증1)이상치 검정'!$F$4)</f>
        <v>0.75710071430381487</v>
      </c>
      <c r="H115" s="15" t="str">
        <f>IF(G115&gt;'(검증1)이상치 검정'!$G$4,"Alert","")</f>
        <v/>
      </c>
    </row>
    <row r="116" spans="1:8" s="9" customFormat="1">
      <c r="A116" s="7" t="s">
        <v>12</v>
      </c>
      <c r="B116" s="7">
        <v>29</v>
      </c>
      <c r="C116" s="7" t="s">
        <v>73</v>
      </c>
      <c r="D116" s="8">
        <v>48.9</v>
      </c>
      <c r="E116" s="12">
        <v>44422.951516203706</v>
      </c>
      <c r="G116" s="9">
        <f>ABS((D116-'(검증1)이상치 검정'!$E$4)/'(검증1)이상치 검정'!$F$4)</f>
        <v>0.6133685698664525</v>
      </c>
      <c r="H116" s="15" t="str">
        <f>IF(G116&gt;'(검증1)이상치 검정'!$G$4,"Alert","")</f>
        <v/>
      </c>
    </row>
    <row r="117" spans="1:8" s="9" customFormat="1">
      <c r="A117" s="7" t="s">
        <v>12</v>
      </c>
      <c r="B117" s="7">
        <v>30</v>
      </c>
      <c r="C117" s="7" t="s">
        <v>74</v>
      </c>
      <c r="D117" s="8">
        <v>48.9</v>
      </c>
      <c r="E117" s="12">
        <v>44422.952210648145</v>
      </c>
      <c r="G117" s="9">
        <f>ABS((D117-'(검증1)이상치 검정'!$E$4)/'(검증1)이상치 검정'!$F$4)</f>
        <v>0.6133685698664525</v>
      </c>
      <c r="H117" s="15" t="str">
        <f>IF(G117&gt;'(검증1)이상치 검정'!$G$4,"Alert","")</f>
        <v/>
      </c>
    </row>
    <row r="118" spans="1:8" s="9" customFormat="1">
      <c r="A118" s="7" t="s">
        <v>12</v>
      </c>
      <c r="B118" s="7">
        <v>31</v>
      </c>
      <c r="C118" s="7" t="s">
        <v>75</v>
      </c>
      <c r="D118" s="8">
        <v>48.7</v>
      </c>
      <c r="E118" s="12">
        <v>44422.952905092592</v>
      </c>
      <c r="G118" s="9">
        <f>ABS((D118-'(검증1)이상치 검정'!$E$4)/'(검증1)이상치 검정'!$F$4)</f>
        <v>0.90083285874116714</v>
      </c>
      <c r="H118" s="15" t="str">
        <f>IF(G118&gt;'(검증1)이상치 검정'!$G$4,"Alert","")</f>
        <v/>
      </c>
    </row>
    <row r="119" spans="1:8" s="9" customFormat="1">
      <c r="A119" s="7" t="s">
        <v>12</v>
      </c>
      <c r="B119" s="7">
        <v>32</v>
      </c>
      <c r="C119" s="7" t="s">
        <v>76</v>
      </c>
      <c r="D119" s="8">
        <v>48.9</v>
      </c>
      <c r="E119" s="12">
        <v>44422.953599537039</v>
      </c>
      <c r="G119" s="9">
        <f>ABS((D119-'(검증1)이상치 검정'!$E$4)/'(검증1)이상치 검정'!$F$4)</f>
        <v>0.6133685698664525</v>
      </c>
      <c r="H119" s="15" t="str">
        <f>IF(G119&gt;'(검증1)이상치 검정'!$G$4,"Alert","")</f>
        <v/>
      </c>
    </row>
    <row r="120" spans="1:8" s="9" customFormat="1">
      <c r="A120" s="7" t="s">
        <v>12</v>
      </c>
      <c r="B120" s="7">
        <v>33</v>
      </c>
      <c r="C120" s="7" t="s">
        <v>77</v>
      </c>
      <c r="D120" s="8">
        <v>48.8</v>
      </c>
      <c r="E120" s="12">
        <v>44422.954293981478</v>
      </c>
      <c r="G120" s="9">
        <f>ABS((D120-'(검증1)이상치 검정'!$E$4)/'(검증1)이상치 검정'!$F$4)</f>
        <v>0.75710071430381487</v>
      </c>
      <c r="H120" s="15" t="str">
        <f>IF(G120&gt;'(검증1)이상치 검정'!$G$4,"Alert","")</f>
        <v/>
      </c>
    </row>
    <row r="121" spans="1:8" s="9" customFormat="1">
      <c r="A121" s="7" t="s">
        <v>12</v>
      </c>
      <c r="B121" s="7">
        <v>34</v>
      </c>
      <c r="C121" s="7" t="s">
        <v>78</v>
      </c>
      <c r="D121" s="8">
        <v>48.7</v>
      </c>
      <c r="E121" s="12">
        <v>44422.954988425925</v>
      </c>
      <c r="G121" s="9">
        <f>ABS((D121-'(검증1)이상치 검정'!$E$4)/'(검증1)이상치 검정'!$F$4)</f>
        <v>0.90083285874116714</v>
      </c>
      <c r="H121" s="15" t="str">
        <f>IF(G121&gt;'(검증1)이상치 검정'!$G$4,"Alert","")</f>
        <v/>
      </c>
    </row>
    <row r="122" spans="1:8" s="9" customFormat="1">
      <c r="A122" s="7" t="s">
        <v>12</v>
      </c>
      <c r="B122" s="7">
        <v>35</v>
      </c>
      <c r="C122" s="7" t="s">
        <v>79</v>
      </c>
      <c r="D122" s="8">
        <v>48.9</v>
      </c>
      <c r="E122" s="12">
        <v>44422.955682870372</v>
      </c>
      <c r="G122" s="9">
        <f>ABS((D122-'(검증1)이상치 검정'!$E$4)/'(검증1)이상치 검정'!$F$4)</f>
        <v>0.6133685698664525</v>
      </c>
      <c r="H122" s="15" t="str">
        <f>IF(G122&gt;'(검증1)이상치 검정'!$G$4,"Alert","")</f>
        <v/>
      </c>
    </row>
    <row r="123" spans="1:8" s="9" customFormat="1">
      <c r="A123" s="7" t="s">
        <v>12</v>
      </c>
      <c r="B123" s="7">
        <v>36</v>
      </c>
      <c r="C123" s="7" t="s">
        <v>80</v>
      </c>
      <c r="D123" s="8">
        <v>49</v>
      </c>
      <c r="E123" s="12">
        <v>44422.956377314818</v>
      </c>
      <c r="G123" s="9">
        <f>ABS((D123-'(검증1)이상치 검정'!$E$4)/'(검증1)이상치 검정'!$F$4)</f>
        <v>0.46963642542909001</v>
      </c>
      <c r="H123" s="15" t="str">
        <f>IF(G123&gt;'(검증1)이상치 검정'!$G$4,"Alert","")</f>
        <v/>
      </c>
    </row>
    <row r="124" spans="1:8" s="9" customFormat="1">
      <c r="A124" s="7" t="s">
        <v>12</v>
      </c>
      <c r="B124" s="7">
        <v>37</v>
      </c>
      <c r="C124" s="7" t="s">
        <v>81</v>
      </c>
      <c r="D124" s="8">
        <v>49</v>
      </c>
      <c r="E124" s="12">
        <v>44422.957071759258</v>
      </c>
      <c r="G124" s="9">
        <f>ABS((D124-'(검증1)이상치 검정'!$E$4)/'(검증1)이상치 검정'!$F$4)</f>
        <v>0.46963642542909001</v>
      </c>
      <c r="H124" s="15" t="str">
        <f>IF(G124&gt;'(검증1)이상치 검정'!$G$4,"Alert","")</f>
        <v/>
      </c>
    </row>
    <row r="125" spans="1:8" s="9" customFormat="1">
      <c r="A125" s="7" t="s">
        <v>12</v>
      </c>
      <c r="B125" s="7">
        <v>38</v>
      </c>
      <c r="C125" s="7" t="s">
        <v>82</v>
      </c>
      <c r="D125" s="8">
        <v>48.9</v>
      </c>
      <c r="E125" s="12">
        <v>44422.957766203705</v>
      </c>
      <c r="G125" s="9">
        <f>ABS((D125-'(검증1)이상치 검정'!$E$4)/'(검증1)이상치 검정'!$F$4)</f>
        <v>0.6133685698664525</v>
      </c>
      <c r="H125" s="15" t="str">
        <f>IF(G125&gt;'(검증1)이상치 검정'!$G$4,"Alert","")</f>
        <v/>
      </c>
    </row>
    <row r="126" spans="1:8" s="9" customFormat="1">
      <c r="A126" s="7" t="s">
        <v>12</v>
      </c>
      <c r="B126" s="7">
        <v>39</v>
      </c>
      <c r="C126" s="7" t="s">
        <v>83</v>
      </c>
      <c r="D126" s="8">
        <v>48.8</v>
      </c>
      <c r="E126" s="12">
        <v>44422.958460648151</v>
      </c>
      <c r="G126" s="9">
        <f>ABS((D126-'(검증1)이상치 검정'!$E$4)/'(검증1)이상치 검정'!$F$4)</f>
        <v>0.75710071430381487</v>
      </c>
      <c r="H126" s="15" t="str">
        <f>IF(G126&gt;'(검증1)이상치 검정'!$G$4,"Alert","")</f>
        <v/>
      </c>
    </row>
    <row r="127" spans="1:8" s="9" customFormat="1">
      <c r="A127" s="7" t="s">
        <v>12</v>
      </c>
      <c r="B127" s="7">
        <v>40</v>
      </c>
      <c r="C127" s="7" t="s">
        <v>84</v>
      </c>
      <c r="D127" s="8">
        <v>48.9</v>
      </c>
      <c r="E127" s="12">
        <v>44422.959155092591</v>
      </c>
      <c r="G127" s="9">
        <f>ABS((D127-'(검증1)이상치 검정'!$E$4)/'(검증1)이상치 검정'!$F$4)</f>
        <v>0.6133685698664525</v>
      </c>
      <c r="H127" s="15" t="str">
        <f>IF(G127&gt;'(검증1)이상치 검정'!$G$4,"Alert","")</f>
        <v/>
      </c>
    </row>
    <row r="128" spans="1:8" s="9" customFormat="1">
      <c r="A128" s="7" t="s">
        <v>12</v>
      </c>
      <c r="B128" s="7">
        <v>41</v>
      </c>
      <c r="C128" s="7" t="s">
        <v>85</v>
      </c>
      <c r="D128" s="8">
        <v>48.7</v>
      </c>
      <c r="E128" s="12">
        <v>44422.959849537037</v>
      </c>
      <c r="G128" s="9">
        <f>ABS((D128-'(검증1)이상치 검정'!$E$4)/'(검증1)이상치 검정'!$F$4)</f>
        <v>0.90083285874116714</v>
      </c>
      <c r="H128" s="15" t="str">
        <f>IF(G128&gt;'(검증1)이상치 검정'!$G$4,"Alert","")</f>
        <v/>
      </c>
    </row>
    <row r="129" spans="1:8" s="9" customFormat="1">
      <c r="A129" s="7" t="s">
        <v>12</v>
      </c>
      <c r="B129" s="7">
        <v>42</v>
      </c>
      <c r="C129" s="7" t="s">
        <v>86</v>
      </c>
      <c r="D129" s="8">
        <v>48.8</v>
      </c>
      <c r="E129" s="12">
        <v>44422.960543981484</v>
      </c>
      <c r="G129" s="9">
        <f>ABS((D129-'(검증1)이상치 검정'!$E$4)/'(검증1)이상치 검정'!$F$4)</f>
        <v>0.75710071430381487</v>
      </c>
      <c r="H129" s="15" t="str">
        <f>IF(G129&gt;'(검증1)이상치 검정'!$G$4,"Alert","")</f>
        <v/>
      </c>
    </row>
    <row r="130" spans="1:8" s="9" customFormat="1">
      <c r="A130" s="7" t="s">
        <v>12</v>
      </c>
      <c r="B130" s="7">
        <v>43</v>
      </c>
      <c r="C130" s="7" t="s">
        <v>87</v>
      </c>
      <c r="D130" s="8">
        <v>48.5</v>
      </c>
      <c r="E130" s="12">
        <v>44422.961238425924</v>
      </c>
      <c r="G130" s="9">
        <f>ABS((D130-'(검증1)이상치 검정'!$E$4)/'(검증1)이상치 검정'!$F$4)</f>
        <v>1.1882971476158921</v>
      </c>
      <c r="H130" s="15" t="str">
        <f>IF(G130&gt;'(검증1)이상치 검정'!$G$4,"Alert","")</f>
        <v/>
      </c>
    </row>
    <row r="131" spans="1:8" s="9" customFormat="1">
      <c r="A131" s="7" t="s">
        <v>12</v>
      </c>
      <c r="B131" s="7">
        <v>44</v>
      </c>
      <c r="C131" s="7" t="s">
        <v>88</v>
      </c>
      <c r="D131" s="8">
        <v>48.9</v>
      </c>
      <c r="E131" s="12">
        <v>44422.96193287037</v>
      </c>
      <c r="G131" s="9">
        <f>ABS((D131-'(검증1)이상치 검정'!$E$4)/'(검증1)이상치 검정'!$F$4)</f>
        <v>0.6133685698664525</v>
      </c>
      <c r="H131" s="15" t="str">
        <f>IF(G131&gt;'(검증1)이상치 검정'!$G$4,"Alert","")</f>
        <v/>
      </c>
    </row>
    <row r="132" spans="1:8" s="9" customFormat="1">
      <c r="A132" s="7" t="s">
        <v>12</v>
      </c>
      <c r="B132" s="7">
        <v>45</v>
      </c>
      <c r="C132" s="7" t="s">
        <v>89</v>
      </c>
      <c r="D132" s="8">
        <v>48.9</v>
      </c>
      <c r="E132" s="12">
        <v>44422.962627314817</v>
      </c>
      <c r="G132" s="9">
        <f>ABS((D132-'(검증1)이상치 검정'!$E$4)/'(검증1)이상치 검정'!$F$4)</f>
        <v>0.6133685698664525</v>
      </c>
      <c r="H132" s="15" t="str">
        <f>IF(G132&gt;'(검증1)이상치 검정'!$G$4,"Alert","")</f>
        <v/>
      </c>
    </row>
    <row r="133" spans="1:8" s="9" customFormat="1">
      <c r="A133" s="7" t="s">
        <v>12</v>
      </c>
      <c r="B133" s="7">
        <v>46</v>
      </c>
      <c r="C133" s="7" t="s">
        <v>90</v>
      </c>
      <c r="D133" s="8">
        <v>48.8</v>
      </c>
      <c r="E133" s="12">
        <v>44422.963321759256</v>
      </c>
      <c r="G133" s="9">
        <f>ABS((D133-'(검증1)이상치 검정'!$E$4)/'(검증1)이상치 검정'!$F$4)</f>
        <v>0.75710071430381487</v>
      </c>
      <c r="H133" s="15" t="str">
        <f>IF(G133&gt;'(검증1)이상치 검정'!$G$4,"Alert","")</f>
        <v/>
      </c>
    </row>
    <row r="134" spans="1:8" s="9" customFormat="1">
      <c r="A134" s="7" t="s">
        <v>12</v>
      </c>
      <c r="B134" s="7">
        <v>47</v>
      </c>
      <c r="C134" s="7" t="s">
        <v>91</v>
      </c>
      <c r="D134" s="8">
        <v>48.7</v>
      </c>
      <c r="E134" s="12">
        <v>44422.964016203703</v>
      </c>
      <c r="G134" s="9">
        <f>ABS((D134-'(검증1)이상치 검정'!$E$4)/'(검증1)이상치 검정'!$F$4)</f>
        <v>0.90083285874116714</v>
      </c>
      <c r="H134" s="15" t="str">
        <f>IF(G134&gt;'(검증1)이상치 검정'!$G$4,"Alert","")</f>
        <v/>
      </c>
    </row>
    <row r="135" spans="1:8" s="9" customFormat="1">
      <c r="A135" s="7" t="s">
        <v>12</v>
      </c>
      <c r="B135" s="7">
        <v>48</v>
      </c>
      <c r="C135" s="7" t="s">
        <v>92</v>
      </c>
      <c r="D135" s="8">
        <v>48.8</v>
      </c>
      <c r="E135" s="12">
        <v>44422.96471064815</v>
      </c>
      <c r="G135" s="9">
        <f>ABS((D135-'(검증1)이상치 검정'!$E$4)/'(검증1)이상치 검정'!$F$4)</f>
        <v>0.75710071430381487</v>
      </c>
      <c r="H135" s="15" t="str">
        <f>IF(G135&gt;'(검증1)이상치 검정'!$G$4,"Alert","")</f>
        <v/>
      </c>
    </row>
    <row r="136" spans="1:8" s="9" customFormat="1">
      <c r="A136" s="7" t="s">
        <v>12</v>
      </c>
      <c r="B136" s="7">
        <v>49</v>
      </c>
      <c r="C136" s="7" t="s">
        <v>93</v>
      </c>
      <c r="D136" s="8">
        <v>49.3</v>
      </c>
      <c r="E136" s="12">
        <v>44422.965405092589</v>
      </c>
      <c r="G136" s="9">
        <f>ABS((D136-'(검증1)이상치 검정'!$E$4)/'(검증1)이상치 검정'!$F$4)</f>
        <v>3.843999211701285E-2</v>
      </c>
      <c r="H136" s="15" t="str">
        <f>IF(G136&gt;'(검증1)이상치 검정'!$G$4,"Alert","")</f>
        <v/>
      </c>
    </row>
    <row r="137" spans="1:8" s="9" customFormat="1">
      <c r="A137" s="7" t="s">
        <v>12</v>
      </c>
      <c r="B137" s="7">
        <v>50</v>
      </c>
      <c r="C137" s="7" t="s">
        <v>94</v>
      </c>
      <c r="D137" s="8">
        <v>48.7</v>
      </c>
      <c r="E137" s="12">
        <v>44422.966099537036</v>
      </c>
      <c r="G137" s="9">
        <f>ABS((D137-'(검증1)이상치 검정'!$E$4)/'(검증1)이상치 검정'!$F$4)</f>
        <v>0.90083285874116714</v>
      </c>
      <c r="H137" s="15" t="str">
        <f>IF(G137&gt;'(검증1)이상치 검정'!$G$4,"Alert","")</f>
        <v/>
      </c>
    </row>
    <row r="138" spans="1:8" s="9" customFormat="1">
      <c r="A138" s="7" t="s">
        <v>12</v>
      </c>
      <c r="B138" s="7">
        <v>51</v>
      </c>
      <c r="C138" s="7" t="s">
        <v>20</v>
      </c>
      <c r="D138" s="8">
        <v>50.1</v>
      </c>
      <c r="E138" s="12">
        <v>44422.966793981483</v>
      </c>
      <c r="G138" s="9">
        <f>ABS((D138-'(검증1)이상치 검정'!$E$4)/'(검증1)이상치 검정'!$F$4)</f>
        <v>1.1114171633818766</v>
      </c>
      <c r="H138" s="15" t="str">
        <f>IF(G138&gt;'(검증1)이상치 검정'!$G$4,"Alert","")</f>
        <v/>
      </c>
    </row>
    <row r="139" spans="1:8" s="9" customFormat="1">
      <c r="A139" s="7" t="s">
        <v>12</v>
      </c>
      <c r="B139" s="7">
        <v>52</v>
      </c>
      <c r="C139" s="7" t="s">
        <v>21</v>
      </c>
      <c r="D139" s="8">
        <v>50.3</v>
      </c>
      <c r="E139" s="12">
        <v>44422.967488425929</v>
      </c>
      <c r="G139" s="9">
        <f>ABS((D139-'(검증1)이상치 검정'!$E$4)/'(검증1)이상치 검정'!$F$4)</f>
        <v>1.3988814522565913</v>
      </c>
      <c r="H139" s="15" t="str">
        <f>IF(G139&gt;'(검증1)이상치 검정'!$G$4,"Alert","")</f>
        <v/>
      </c>
    </row>
    <row r="140" spans="1:8" s="9" customFormat="1">
      <c r="A140" s="7" t="s">
        <v>12</v>
      </c>
      <c r="B140" s="7">
        <v>53</v>
      </c>
      <c r="C140" s="7" t="s">
        <v>22</v>
      </c>
      <c r="D140" s="8">
        <v>50.2</v>
      </c>
      <c r="E140" s="12">
        <v>44422.968182870369</v>
      </c>
      <c r="G140" s="9">
        <f>ABS((D140-'(검증1)이상치 검정'!$E$4)/'(검증1)이상치 검정'!$F$4)</f>
        <v>1.2551493078192391</v>
      </c>
      <c r="H140" s="15" t="str">
        <f>IF(G140&gt;'(검증1)이상치 검정'!$G$4,"Alert","")</f>
        <v/>
      </c>
    </row>
    <row r="141" spans="1:8" s="9" customFormat="1">
      <c r="A141" s="7" t="s">
        <v>12</v>
      </c>
      <c r="B141" s="7">
        <v>54</v>
      </c>
      <c r="C141" s="7" t="s">
        <v>23</v>
      </c>
      <c r="D141" s="8">
        <v>50.2</v>
      </c>
      <c r="E141" s="12">
        <v>44422.968877314815</v>
      </c>
      <c r="G141" s="9">
        <f>ABS((D141-'(검증1)이상치 검정'!$E$4)/'(검증1)이상치 검정'!$F$4)</f>
        <v>1.2551493078192391</v>
      </c>
      <c r="H141" s="15" t="str">
        <f>IF(G141&gt;'(검증1)이상치 검정'!$G$4,"Alert","")</f>
        <v/>
      </c>
    </row>
    <row r="142" spans="1:8" s="9" customFormat="1">
      <c r="A142" s="7" t="s">
        <v>12</v>
      </c>
      <c r="B142" s="7">
        <v>55</v>
      </c>
      <c r="C142" s="7" t="s">
        <v>24</v>
      </c>
      <c r="D142" s="8">
        <v>50.2</v>
      </c>
      <c r="E142" s="12">
        <v>44422.969571759262</v>
      </c>
      <c r="G142" s="9">
        <f>ABS((D142-'(검증1)이상치 검정'!$E$4)/'(검증1)이상치 검정'!$F$4)</f>
        <v>1.2551493078192391</v>
      </c>
      <c r="H142" s="15" t="str">
        <f>IF(G142&gt;'(검증1)이상치 검정'!$G$4,"Alert","")</f>
        <v/>
      </c>
    </row>
    <row r="143" spans="1:8" s="9" customFormat="1">
      <c r="A143" s="7" t="s">
        <v>12</v>
      </c>
      <c r="B143" s="7">
        <v>56</v>
      </c>
      <c r="C143" s="7" t="s">
        <v>25</v>
      </c>
      <c r="D143" s="8">
        <v>50.2</v>
      </c>
      <c r="E143" s="12">
        <v>44422.970266203702</v>
      </c>
      <c r="G143" s="9">
        <f>ABS((D143-'(검증1)이상치 검정'!$E$4)/'(검증1)이상치 검정'!$F$4)</f>
        <v>1.2551493078192391</v>
      </c>
      <c r="H143" s="15" t="str">
        <f>IF(G143&gt;'(검증1)이상치 검정'!$G$4,"Alert","")</f>
        <v/>
      </c>
    </row>
    <row r="144" spans="1:8" s="9" customFormat="1">
      <c r="A144" s="7" t="s">
        <v>12</v>
      </c>
      <c r="B144" s="7">
        <v>57</v>
      </c>
      <c r="C144" s="7" t="s">
        <v>26</v>
      </c>
      <c r="D144" s="8">
        <v>49.8</v>
      </c>
      <c r="E144" s="12">
        <v>44422.970960648148</v>
      </c>
      <c r="G144" s="9">
        <f>ABS((D144-'(검증1)이상치 검정'!$E$4)/'(검증1)이상치 검정'!$F$4)</f>
        <v>0.68022073006978923</v>
      </c>
      <c r="H144" s="15" t="str">
        <f>IF(G144&gt;'(검증1)이상치 검정'!$G$4,"Alert","")</f>
        <v/>
      </c>
    </row>
    <row r="145" spans="1:8" s="9" customFormat="1">
      <c r="A145" s="7" t="s">
        <v>12</v>
      </c>
      <c r="B145" s="7">
        <v>58</v>
      </c>
      <c r="C145" s="7" t="s">
        <v>27</v>
      </c>
      <c r="D145" s="8">
        <v>50.1</v>
      </c>
      <c r="E145" s="12">
        <v>44422.971655092595</v>
      </c>
      <c r="G145" s="9">
        <f>ABS((D145-'(검증1)이상치 검정'!$E$4)/'(검증1)이상치 검정'!$F$4)</f>
        <v>1.1114171633818766</v>
      </c>
      <c r="H145" s="15" t="str">
        <f>IF(G145&gt;'(검증1)이상치 검정'!$G$4,"Alert","")</f>
        <v/>
      </c>
    </row>
    <row r="146" spans="1:8" s="9" customFormat="1">
      <c r="A146" s="7" t="s">
        <v>12</v>
      </c>
      <c r="B146" s="7">
        <v>59</v>
      </c>
      <c r="C146" s="7" t="s">
        <v>28</v>
      </c>
      <c r="D146" s="8">
        <v>50</v>
      </c>
      <c r="E146" s="12">
        <v>44422.972349537034</v>
      </c>
      <c r="G146" s="9">
        <f>ABS((D146-'(검증1)이상치 검정'!$E$4)/'(검증1)이상치 검정'!$F$4)</f>
        <v>0.96768501894451409</v>
      </c>
      <c r="H146" s="15" t="str">
        <f>IF(G146&gt;'(검증1)이상치 검정'!$G$4,"Alert","")</f>
        <v/>
      </c>
    </row>
    <row r="147" spans="1:8" s="9" customFormat="1">
      <c r="A147" s="7" t="s">
        <v>12</v>
      </c>
      <c r="B147" s="7">
        <v>60</v>
      </c>
      <c r="C147" s="7" t="s">
        <v>29</v>
      </c>
      <c r="D147" s="8">
        <v>50.1</v>
      </c>
      <c r="E147" s="12">
        <v>44422.973043981481</v>
      </c>
      <c r="G147" s="9">
        <f>ABS((D147-'(검증1)이상치 검정'!$E$4)/'(검증1)이상치 검정'!$F$4)</f>
        <v>1.1114171633818766</v>
      </c>
      <c r="H147" s="15" t="str">
        <f>IF(G147&gt;'(검증1)이상치 검정'!$G$4,"Alert","")</f>
        <v/>
      </c>
    </row>
    <row r="148" spans="1:8" s="9" customFormat="1">
      <c r="A148" s="7" t="s">
        <v>12</v>
      </c>
      <c r="B148" s="7">
        <v>61</v>
      </c>
      <c r="C148" s="7" t="s">
        <v>30</v>
      </c>
      <c r="D148" s="8">
        <v>50.2</v>
      </c>
      <c r="E148" s="12">
        <v>44422.973738425928</v>
      </c>
      <c r="G148" s="9">
        <f>ABS((D148-'(검증1)이상치 검정'!$E$4)/'(검증1)이상치 검정'!$F$4)</f>
        <v>1.2551493078192391</v>
      </c>
      <c r="H148" s="15" t="str">
        <f>IF(G148&gt;'(검증1)이상치 검정'!$G$4,"Alert","")</f>
        <v/>
      </c>
    </row>
    <row r="149" spans="1:8" s="9" customFormat="1">
      <c r="A149" s="7" t="s">
        <v>12</v>
      </c>
      <c r="B149" s="7">
        <v>62</v>
      </c>
      <c r="C149" s="7" t="s">
        <v>31</v>
      </c>
      <c r="D149" s="8">
        <v>50.3</v>
      </c>
      <c r="E149" s="12">
        <v>44422.974432870367</v>
      </c>
      <c r="G149" s="9">
        <f>ABS((D149-'(검증1)이상치 검정'!$E$4)/'(검증1)이상치 검정'!$F$4)</f>
        <v>1.3988814522565913</v>
      </c>
      <c r="H149" s="15" t="str">
        <f>IF(G149&gt;'(검증1)이상치 검정'!$G$4,"Alert","")</f>
        <v/>
      </c>
    </row>
    <row r="150" spans="1:8" s="9" customFormat="1">
      <c r="A150" s="7" t="s">
        <v>12</v>
      </c>
      <c r="B150" s="7">
        <v>63</v>
      </c>
      <c r="C150" s="7" t="s">
        <v>32</v>
      </c>
      <c r="D150" s="8">
        <v>49.7</v>
      </c>
      <c r="E150" s="12">
        <v>44422.975127314814</v>
      </c>
      <c r="G150" s="9">
        <f>ABS((D150-'(검증1)이상치 검정'!$E$4)/'(검증1)이상치 검정'!$F$4)</f>
        <v>0.53648858563243695</v>
      </c>
      <c r="H150" s="15" t="str">
        <f>IF(G150&gt;'(검증1)이상치 검정'!$G$4,"Alert","")</f>
        <v/>
      </c>
    </row>
    <row r="151" spans="1:8" s="9" customFormat="1">
      <c r="A151" s="7" t="s">
        <v>12</v>
      </c>
      <c r="B151" s="7">
        <v>64</v>
      </c>
      <c r="C151" s="7" t="s">
        <v>33</v>
      </c>
      <c r="D151" s="8">
        <v>49.9</v>
      </c>
      <c r="E151" s="12">
        <v>44422.975821759261</v>
      </c>
      <c r="G151" s="9">
        <f>ABS((D151-'(검증1)이상치 검정'!$E$4)/'(검증1)이상치 검정'!$F$4)</f>
        <v>0.82395287450715171</v>
      </c>
      <c r="H151" s="15" t="str">
        <f>IF(G151&gt;'(검증1)이상치 검정'!$G$4,"Alert","")</f>
        <v/>
      </c>
    </row>
    <row r="152" spans="1:8" s="9" customFormat="1">
      <c r="A152" s="7" t="s">
        <v>12</v>
      </c>
      <c r="B152" s="7">
        <v>65</v>
      </c>
      <c r="C152" s="7" t="s">
        <v>34</v>
      </c>
      <c r="D152" s="8">
        <v>50</v>
      </c>
      <c r="E152" s="12">
        <v>44422.9765162037</v>
      </c>
      <c r="G152" s="9">
        <f>ABS((D152-'(검증1)이상치 검정'!$E$4)/'(검증1)이상치 검정'!$F$4)</f>
        <v>0.96768501894451409</v>
      </c>
      <c r="H152" s="15" t="str">
        <f>IF(G152&gt;'(검증1)이상치 검정'!$G$4,"Alert","")</f>
        <v/>
      </c>
    </row>
    <row r="153" spans="1:8" s="9" customFormat="1">
      <c r="A153" s="7" t="s">
        <v>12</v>
      </c>
      <c r="B153" s="7">
        <v>66</v>
      </c>
      <c r="C153" s="7" t="s">
        <v>35</v>
      </c>
      <c r="D153" s="8">
        <v>50</v>
      </c>
      <c r="E153" s="12">
        <v>44422.977210648147</v>
      </c>
      <c r="G153" s="9">
        <f>ABS((D153-'(검증1)이상치 검정'!$E$4)/'(검증1)이상치 검정'!$F$4)</f>
        <v>0.96768501894451409</v>
      </c>
      <c r="H153" s="15" t="str">
        <f>IF(G153&gt;'(검증1)이상치 검정'!$G$4,"Alert","")</f>
        <v/>
      </c>
    </row>
    <row r="154" spans="1:8" s="9" customFormat="1">
      <c r="A154" s="7" t="s">
        <v>12</v>
      </c>
      <c r="B154" s="7">
        <v>67</v>
      </c>
      <c r="C154" s="7" t="s">
        <v>36</v>
      </c>
      <c r="D154" s="8">
        <v>50.3</v>
      </c>
      <c r="E154" s="12">
        <v>44422.977905092594</v>
      </c>
      <c r="G154" s="9">
        <f>ABS((D154-'(검증1)이상치 검정'!$E$4)/'(검증1)이상치 검정'!$F$4)</f>
        <v>1.3988814522565913</v>
      </c>
      <c r="H154" s="15" t="str">
        <f>IF(G154&gt;'(검증1)이상치 검정'!$G$4,"Alert","")</f>
        <v/>
      </c>
    </row>
    <row r="155" spans="1:8" s="9" customFormat="1">
      <c r="A155" s="7" t="s">
        <v>12</v>
      </c>
      <c r="B155" s="7">
        <v>68</v>
      </c>
      <c r="C155" s="7" t="s">
        <v>37</v>
      </c>
      <c r="D155" s="8">
        <v>50.4</v>
      </c>
      <c r="E155" s="12">
        <v>44422.97859953704</v>
      </c>
      <c r="G155" s="9">
        <f>ABS((D155-'(검증1)이상치 검정'!$E$4)/'(검증1)이상치 검정'!$F$4)</f>
        <v>1.5426135966939538</v>
      </c>
      <c r="H155" s="15" t="str">
        <f>IF(G155&gt;'(검증1)이상치 검정'!$G$4,"Alert","")</f>
        <v/>
      </c>
    </row>
    <row r="156" spans="1:8" s="9" customFormat="1">
      <c r="A156" s="7" t="s">
        <v>12</v>
      </c>
      <c r="B156" s="7">
        <v>69</v>
      </c>
      <c r="C156" s="7" t="s">
        <v>38</v>
      </c>
      <c r="D156" s="8">
        <v>50.3</v>
      </c>
      <c r="E156" s="12">
        <v>44422.97929398148</v>
      </c>
      <c r="G156" s="9">
        <f>ABS((D156-'(검증1)이상치 검정'!$E$4)/'(검증1)이상치 검정'!$F$4)</f>
        <v>1.3988814522565913</v>
      </c>
      <c r="H156" s="15" t="str">
        <f>IF(G156&gt;'(검증1)이상치 검정'!$G$4,"Alert","")</f>
        <v/>
      </c>
    </row>
    <row r="157" spans="1:8" s="9" customFormat="1">
      <c r="A157" s="7" t="s">
        <v>12</v>
      </c>
      <c r="B157" s="7">
        <v>70</v>
      </c>
      <c r="C157" s="7" t="s">
        <v>39</v>
      </c>
      <c r="D157" s="8">
        <v>50.3</v>
      </c>
      <c r="E157" s="12">
        <v>44422.979988425926</v>
      </c>
      <c r="G157" s="9">
        <f>ABS((D157-'(검증1)이상치 검정'!$E$4)/'(검증1)이상치 검정'!$F$4)</f>
        <v>1.3988814522565913</v>
      </c>
      <c r="H157" s="15" t="str">
        <f>IF(G157&gt;'(검증1)이상치 검정'!$G$4,"Alert","")</f>
        <v/>
      </c>
    </row>
    <row r="158" spans="1:8" s="9" customFormat="1">
      <c r="A158" s="7" t="s">
        <v>12</v>
      </c>
      <c r="B158" s="7">
        <v>71</v>
      </c>
      <c r="C158" s="7" t="s">
        <v>40</v>
      </c>
      <c r="D158" s="8">
        <v>50.3</v>
      </c>
      <c r="E158" s="12">
        <v>44422.980682870373</v>
      </c>
      <c r="G158" s="9">
        <f>ABS((D158-'(검증1)이상치 검정'!$E$4)/'(검증1)이상치 검정'!$F$4)</f>
        <v>1.3988814522565913</v>
      </c>
      <c r="H158" s="15" t="str">
        <f>IF(G158&gt;'(검증1)이상치 검정'!$G$4,"Alert","")</f>
        <v/>
      </c>
    </row>
    <row r="159" spans="1:8" s="9" customFormat="1">
      <c r="A159" s="7" t="s">
        <v>12</v>
      </c>
      <c r="B159" s="7">
        <v>72</v>
      </c>
      <c r="C159" s="7" t="s">
        <v>41</v>
      </c>
      <c r="D159" s="8">
        <v>50.4</v>
      </c>
      <c r="E159" s="12">
        <v>44422.981377314813</v>
      </c>
      <c r="G159" s="9">
        <f>ABS((D159-'(검증1)이상치 검정'!$E$4)/'(검증1)이상치 검정'!$F$4)</f>
        <v>1.5426135966939538</v>
      </c>
      <c r="H159" s="15" t="str">
        <f>IF(G159&gt;'(검증1)이상치 검정'!$G$4,"Alert","")</f>
        <v/>
      </c>
    </row>
    <row r="160" spans="1:8" s="9" customFormat="1">
      <c r="A160" s="7" t="s">
        <v>12</v>
      </c>
      <c r="B160" s="7">
        <v>73</v>
      </c>
      <c r="C160" s="7" t="s">
        <v>42</v>
      </c>
      <c r="D160" s="8">
        <v>50.3</v>
      </c>
      <c r="E160" s="12">
        <v>44422.982071759259</v>
      </c>
      <c r="G160" s="9">
        <f>ABS((D160-'(검증1)이상치 검정'!$E$4)/'(검증1)이상치 검정'!$F$4)</f>
        <v>1.3988814522565913</v>
      </c>
      <c r="H160" s="15" t="str">
        <f>IF(G160&gt;'(검증1)이상치 검정'!$G$4,"Alert","")</f>
        <v/>
      </c>
    </row>
    <row r="161" spans="1:8" s="9" customFormat="1">
      <c r="A161" s="7" t="s">
        <v>12</v>
      </c>
      <c r="B161" s="7">
        <v>74</v>
      </c>
      <c r="C161" s="7" t="s">
        <v>43</v>
      </c>
      <c r="D161" s="8">
        <v>50.2</v>
      </c>
      <c r="E161" s="12">
        <v>44422.982766203706</v>
      </c>
      <c r="G161" s="9">
        <f>ABS((D161-'(검증1)이상치 검정'!$E$4)/'(검증1)이상치 검정'!$F$4)</f>
        <v>1.2551493078192391</v>
      </c>
      <c r="H161" s="15" t="str">
        <f>IF(G161&gt;'(검증1)이상치 검정'!$G$4,"Alert","")</f>
        <v/>
      </c>
    </row>
    <row r="162" spans="1:8" s="9" customFormat="1">
      <c r="A162" s="7" t="s">
        <v>12</v>
      </c>
      <c r="B162" s="7">
        <v>75</v>
      </c>
      <c r="C162" s="7" t="s">
        <v>44</v>
      </c>
      <c r="D162" s="8">
        <v>50.3</v>
      </c>
      <c r="E162" s="12">
        <v>44422.983460648145</v>
      </c>
      <c r="G162" s="9">
        <f>ABS((D162-'(검증1)이상치 검정'!$E$4)/'(검증1)이상치 검정'!$F$4)</f>
        <v>1.3988814522565913</v>
      </c>
      <c r="H162" s="15" t="str">
        <f>IF(G162&gt;'(검증1)이상치 검정'!$G$4,"Alert","")</f>
        <v/>
      </c>
    </row>
    <row r="163" spans="1:8" s="9" customFormat="1">
      <c r="A163" s="7" t="s">
        <v>12</v>
      </c>
      <c r="B163" s="7">
        <v>76</v>
      </c>
      <c r="C163" s="7" t="s">
        <v>95</v>
      </c>
      <c r="D163" s="8">
        <v>50.1</v>
      </c>
      <c r="E163" s="12">
        <v>44422.984155092592</v>
      </c>
      <c r="G163" s="9">
        <f>ABS((D163-'(검증1)이상치 검정'!$E$4)/'(검증1)이상치 검정'!$F$4)</f>
        <v>1.1114171633818766</v>
      </c>
      <c r="H163" s="15" t="str">
        <f>IF(G163&gt;'(검증1)이상치 검정'!$G$4,"Alert","")</f>
        <v/>
      </c>
    </row>
    <row r="164" spans="1:8" s="9" customFormat="1">
      <c r="A164" s="7" t="s">
        <v>12</v>
      </c>
      <c r="B164" s="7">
        <v>77</v>
      </c>
      <c r="C164" s="7" t="s">
        <v>96</v>
      </c>
      <c r="D164" s="8">
        <v>49.9</v>
      </c>
      <c r="E164" s="12">
        <v>44422.984849537039</v>
      </c>
      <c r="G164" s="9">
        <f>ABS((D164-'(검증1)이상치 검정'!$E$4)/'(검증1)이상치 검정'!$F$4)</f>
        <v>0.82395287450715171</v>
      </c>
      <c r="H164" s="15" t="str">
        <f>IF(G164&gt;'(검증1)이상치 검정'!$G$4,"Alert","")</f>
        <v/>
      </c>
    </row>
    <row r="165" spans="1:8" s="9" customFormat="1">
      <c r="A165" s="7" t="s">
        <v>12</v>
      </c>
      <c r="B165" s="7">
        <v>78</v>
      </c>
      <c r="C165" s="7" t="s">
        <v>97</v>
      </c>
      <c r="D165" s="8">
        <v>49.9</v>
      </c>
      <c r="E165" s="12">
        <v>44422.985543981478</v>
      </c>
      <c r="G165" s="9">
        <f>ABS((D165-'(검증1)이상치 검정'!$E$4)/'(검증1)이상치 검정'!$F$4)</f>
        <v>0.82395287450715171</v>
      </c>
      <c r="H165" s="15" t="str">
        <f>IF(G165&gt;'(검증1)이상치 검정'!$G$4,"Alert","")</f>
        <v/>
      </c>
    </row>
    <row r="166" spans="1:8" s="9" customFormat="1">
      <c r="A166" s="7" t="s">
        <v>12</v>
      </c>
      <c r="B166" s="7">
        <v>79</v>
      </c>
      <c r="C166" s="7" t="s">
        <v>98</v>
      </c>
      <c r="D166" s="8">
        <v>49.9</v>
      </c>
      <c r="E166" s="12">
        <v>44422.986238425925</v>
      </c>
      <c r="G166" s="9">
        <f>ABS((D166-'(검증1)이상치 검정'!$E$4)/'(검증1)이상치 검정'!$F$4)</f>
        <v>0.82395287450715171</v>
      </c>
      <c r="H166" s="15" t="str">
        <f>IF(G166&gt;'(검증1)이상치 검정'!$G$4,"Alert","")</f>
        <v/>
      </c>
    </row>
    <row r="167" spans="1:8" s="9" customFormat="1">
      <c r="A167" s="7" t="s">
        <v>12</v>
      </c>
      <c r="B167" s="7">
        <v>80</v>
      </c>
      <c r="C167" s="7" t="s">
        <v>99</v>
      </c>
      <c r="D167" s="8">
        <v>50.1</v>
      </c>
      <c r="E167" s="12">
        <v>44422.986932870372</v>
      </c>
      <c r="G167" s="9">
        <f>ABS((D167-'(검증1)이상치 검정'!$E$4)/'(검증1)이상치 검정'!$F$4)</f>
        <v>1.1114171633818766</v>
      </c>
      <c r="H167" s="15" t="str">
        <f>IF(G167&gt;'(검증1)이상치 검정'!$G$4,"Alert","")</f>
        <v/>
      </c>
    </row>
    <row r="168" spans="1:8" s="9" customFormat="1">
      <c r="A168" s="7" t="s">
        <v>12</v>
      </c>
      <c r="B168" s="7">
        <v>81</v>
      </c>
      <c r="C168" s="7" t="s">
        <v>100</v>
      </c>
      <c r="D168" s="8">
        <v>50</v>
      </c>
      <c r="E168" s="12">
        <v>44422.987627314818</v>
      </c>
      <c r="G168" s="9">
        <f>ABS((D168-'(검증1)이상치 검정'!$E$4)/'(검증1)이상치 검정'!$F$4)</f>
        <v>0.96768501894451409</v>
      </c>
      <c r="H168" s="15" t="str">
        <f>IF(G168&gt;'(검증1)이상치 검정'!$G$4,"Alert","")</f>
        <v/>
      </c>
    </row>
    <row r="169" spans="1:8" s="9" customFormat="1">
      <c r="A169" s="7" t="s">
        <v>12</v>
      </c>
      <c r="B169" s="7">
        <v>82</v>
      </c>
      <c r="C169" s="7" t="s">
        <v>101</v>
      </c>
      <c r="D169" s="8">
        <v>49.9</v>
      </c>
      <c r="E169" s="12">
        <v>44422.988321759258</v>
      </c>
      <c r="G169" s="9">
        <f>ABS((D169-'(검증1)이상치 검정'!$E$4)/'(검증1)이상치 검정'!$F$4)</f>
        <v>0.82395287450715171</v>
      </c>
      <c r="H169" s="15" t="str">
        <f>IF(G169&gt;'(검증1)이상치 검정'!$G$4,"Alert","")</f>
        <v/>
      </c>
    </row>
    <row r="170" spans="1:8" s="9" customFormat="1">
      <c r="A170" s="7" t="s">
        <v>12</v>
      </c>
      <c r="B170" s="7">
        <v>83</v>
      </c>
      <c r="C170" s="7" t="s">
        <v>102</v>
      </c>
      <c r="D170" s="8">
        <v>49.9</v>
      </c>
      <c r="E170" s="12">
        <v>44422.989016203705</v>
      </c>
      <c r="G170" s="9">
        <f>ABS((D170-'(검증1)이상치 검정'!$E$4)/'(검증1)이상치 검정'!$F$4)</f>
        <v>0.82395287450715171</v>
      </c>
      <c r="H170" s="15" t="str">
        <f>IF(G170&gt;'(검증1)이상치 검정'!$G$4,"Alert","")</f>
        <v/>
      </c>
    </row>
    <row r="171" spans="1:8" s="9" customFormat="1">
      <c r="A171" s="7" t="s">
        <v>12</v>
      </c>
      <c r="B171" s="7">
        <v>84</v>
      </c>
      <c r="C171" s="7" t="s">
        <v>103</v>
      </c>
      <c r="D171" s="8">
        <v>50.2</v>
      </c>
      <c r="E171" s="12">
        <v>44422.989710648151</v>
      </c>
      <c r="G171" s="9">
        <f>ABS((D171-'(검증1)이상치 검정'!$E$4)/'(검증1)이상치 검정'!$F$4)</f>
        <v>1.2551493078192391</v>
      </c>
      <c r="H171" s="15" t="str">
        <f>IF(G171&gt;'(검증1)이상치 검정'!$G$4,"Alert","")</f>
        <v/>
      </c>
    </row>
    <row r="172" spans="1:8" s="9" customFormat="1">
      <c r="A172" s="7" t="s">
        <v>12</v>
      </c>
      <c r="B172" s="7">
        <v>85</v>
      </c>
      <c r="C172" s="7" t="s">
        <v>104</v>
      </c>
      <c r="D172" s="8">
        <v>50.3</v>
      </c>
      <c r="E172" s="12">
        <v>44422.990405092591</v>
      </c>
      <c r="G172" s="9">
        <f>ABS((D172-'(검증1)이상치 검정'!$E$4)/'(검증1)이상치 검정'!$F$4)</f>
        <v>1.3988814522565913</v>
      </c>
      <c r="H172" s="15" t="str">
        <f>IF(G172&gt;'(검증1)이상치 검정'!$G$4,"Alert","")</f>
        <v/>
      </c>
    </row>
    <row r="173" spans="1:8" s="9" customFormat="1">
      <c r="A173" s="7" t="s">
        <v>12</v>
      </c>
      <c r="B173" s="7">
        <v>86</v>
      </c>
      <c r="C173" s="7" t="s">
        <v>105</v>
      </c>
      <c r="D173" s="8">
        <v>50.1</v>
      </c>
      <c r="E173" s="12">
        <v>44422.991099537037</v>
      </c>
      <c r="G173" s="9">
        <f>ABS((D173-'(검증1)이상치 검정'!$E$4)/'(검증1)이상치 검정'!$F$4)</f>
        <v>1.1114171633818766</v>
      </c>
      <c r="H173" s="15" t="str">
        <f>IF(G173&gt;'(검증1)이상치 검정'!$G$4,"Alert","")</f>
        <v/>
      </c>
    </row>
    <row r="174" spans="1:8">
      <c r="A174" s="2" t="s">
        <v>106</v>
      </c>
      <c r="B174" s="2">
        <v>1</v>
      </c>
      <c r="C174" s="2" t="s">
        <v>45</v>
      </c>
      <c r="D174" s="3">
        <v>45.6</v>
      </c>
      <c r="E174" s="11">
        <v>44422.932071759256</v>
      </c>
      <c r="G174" s="6">
        <f>ABS((D174-'(검증1)이상치 검정'!$E$5)/'(검증1)이상치 검정'!$F$5)</f>
        <v>0.48368277751126304</v>
      </c>
      <c r="H174" s="25" t="str">
        <f>IF(G174&gt;'(검증1)이상치 검정'!$G$5,"Alert","")</f>
        <v/>
      </c>
    </row>
    <row r="175" spans="1:8">
      <c r="A175" s="2" t="s">
        <v>106</v>
      </c>
      <c r="B175" s="2">
        <v>2</v>
      </c>
      <c r="C175" s="2" t="s">
        <v>46</v>
      </c>
      <c r="D175" s="3">
        <v>44</v>
      </c>
      <c r="E175" s="11">
        <v>44422.932766203703</v>
      </c>
      <c r="G175" s="6">
        <f>ABS((D175-'(검증1)이상치 검정'!$E$5)/'(검증1)이상치 검정'!$F$5)</f>
        <v>1.6092338949901692</v>
      </c>
      <c r="H175" s="25" t="str">
        <f>IF(G175&gt;'(검증1)이상치 검정'!$G$5,"Alert","")</f>
        <v/>
      </c>
    </row>
    <row r="176" spans="1:8">
      <c r="A176" s="2" t="s">
        <v>106</v>
      </c>
      <c r="B176" s="2">
        <v>3</v>
      </c>
      <c r="C176" s="2" t="s">
        <v>47</v>
      </c>
      <c r="D176" s="3">
        <v>46</v>
      </c>
      <c r="E176" s="11">
        <v>44422.93346064815</v>
      </c>
      <c r="G176" s="6">
        <f>ABS((D176-'(검증1)이상치 검정'!$E$5)/'(검증1)이상치 검정'!$F$5)</f>
        <v>1.0069119456366189</v>
      </c>
      <c r="H176" s="25" t="str">
        <f>IF(G176&gt;'(검증1)이상치 검정'!$G$5,"Alert","")</f>
        <v/>
      </c>
    </row>
    <row r="177" spans="1:8">
      <c r="A177" s="2" t="s">
        <v>106</v>
      </c>
      <c r="B177" s="2">
        <v>4</v>
      </c>
      <c r="C177" s="2" t="s">
        <v>48</v>
      </c>
      <c r="D177" s="3">
        <v>44.5</v>
      </c>
      <c r="E177" s="11">
        <v>44422.934155092589</v>
      </c>
      <c r="G177" s="6">
        <f>ABS((D177-'(검증1)이상치 검정'!$E$5)/'(검증1)이상치 검정'!$F$5)</f>
        <v>0.9551974348334723</v>
      </c>
      <c r="H177" s="25" t="str">
        <f>IF(G177&gt;'(검증1)이상치 검정'!$G$5,"Alert","")</f>
        <v/>
      </c>
    </row>
    <row r="178" spans="1:8">
      <c r="A178" s="2" t="s">
        <v>106</v>
      </c>
      <c r="B178" s="2">
        <v>5</v>
      </c>
      <c r="C178" s="2" t="s">
        <v>49</v>
      </c>
      <c r="D178" s="3">
        <v>45.5</v>
      </c>
      <c r="E178" s="11">
        <v>44422.934849537036</v>
      </c>
      <c r="G178" s="6">
        <f>ABS((D178-'(검증1)이상치 검정'!$E$5)/'(검증1)이상치 검정'!$F$5)</f>
        <v>0.35287548547992181</v>
      </c>
      <c r="H178" s="25" t="str">
        <f>IF(G178&gt;'(검증1)이상치 검정'!$G$5,"Alert","")</f>
        <v/>
      </c>
    </row>
    <row r="179" spans="1:8">
      <c r="A179" s="2" t="s">
        <v>106</v>
      </c>
      <c r="B179" s="2">
        <v>6</v>
      </c>
      <c r="C179" s="2" t="s">
        <v>50</v>
      </c>
      <c r="D179" s="3">
        <v>45.7</v>
      </c>
      <c r="E179" s="11">
        <v>44422.935543981483</v>
      </c>
      <c r="G179" s="6">
        <f>ABS((D179-'(검증1)이상치 검정'!$E$5)/'(검증1)이상치 검정'!$F$5)</f>
        <v>0.61449006954260432</v>
      </c>
      <c r="H179" s="25" t="str">
        <f>IF(G179&gt;'(검증1)이상치 검정'!$G$5,"Alert","")</f>
        <v/>
      </c>
    </row>
    <row r="180" spans="1:8">
      <c r="A180" s="2" t="s">
        <v>106</v>
      </c>
      <c r="B180" s="2">
        <v>7</v>
      </c>
      <c r="C180" s="2" t="s">
        <v>51</v>
      </c>
      <c r="D180" s="3">
        <v>44</v>
      </c>
      <c r="E180" s="11">
        <v>44422.936238425929</v>
      </c>
      <c r="G180" s="6">
        <f>ABS((D180-'(검증1)이상치 검정'!$E$5)/'(검증1)이상치 검정'!$F$5)</f>
        <v>1.6092338949901692</v>
      </c>
      <c r="H180" s="25" t="str">
        <f>IF(G180&gt;'(검증1)이상치 검정'!$G$5,"Alert","")</f>
        <v/>
      </c>
    </row>
    <row r="181" spans="1:8">
      <c r="A181" s="2" t="s">
        <v>106</v>
      </c>
      <c r="B181" s="2">
        <v>8</v>
      </c>
      <c r="C181" s="2" t="s">
        <v>52</v>
      </c>
      <c r="D181" s="3">
        <v>46.2</v>
      </c>
      <c r="E181" s="11">
        <v>44422.936932870369</v>
      </c>
      <c r="G181" s="6">
        <f>ABS((D181-'(검증1)이상치 검정'!$E$5)/'(검증1)이상치 검정'!$F$5)</f>
        <v>1.2685265296993014</v>
      </c>
      <c r="H181" s="25" t="str">
        <f>IF(G181&gt;'(검증1)이상치 검정'!$G$5,"Alert","")</f>
        <v/>
      </c>
    </row>
    <row r="182" spans="1:8">
      <c r="A182" s="2" t="s">
        <v>106</v>
      </c>
      <c r="B182" s="2">
        <v>9</v>
      </c>
      <c r="C182" s="2" t="s">
        <v>53</v>
      </c>
      <c r="D182" s="3">
        <v>44.8</v>
      </c>
      <c r="E182" s="11">
        <v>44422.937627314815</v>
      </c>
      <c r="G182" s="6">
        <f>ABS((D182-'(검증1)이상치 검정'!$E$5)/'(검증1)이상치 검정'!$F$5)</f>
        <v>0.56277555873945773</v>
      </c>
      <c r="H182" s="25" t="str">
        <f>IF(G182&gt;'(검증1)이상치 검정'!$G$5,"Alert","")</f>
        <v/>
      </c>
    </row>
    <row r="183" spans="1:8">
      <c r="A183" s="2" t="s">
        <v>106</v>
      </c>
      <c r="B183" s="2">
        <v>10</v>
      </c>
      <c r="C183" s="2" t="s">
        <v>54</v>
      </c>
      <c r="D183" s="3">
        <v>45.2</v>
      </c>
      <c r="E183" s="11">
        <v>44422.938321759262</v>
      </c>
      <c r="G183" s="6">
        <f>ABS((D183-'(검증1)이상치 검정'!$E$5)/'(검증1)이상치 검정'!$F$5)</f>
        <v>3.9546390614092708E-2</v>
      </c>
      <c r="H183" s="25" t="str">
        <f>IF(G183&gt;'(검증1)이상치 검정'!$G$5,"Alert","")</f>
        <v/>
      </c>
    </row>
    <row r="184" spans="1:8">
      <c r="A184" s="2" t="s">
        <v>106</v>
      </c>
      <c r="B184" s="2">
        <v>11</v>
      </c>
      <c r="C184" s="2" t="s">
        <v>55</v>
      </c>
      <c r="D184" s="3">
        <v>45.9</v>
      </c>
      <c r="E184" s="11">
        <v>44422.939016203702</v>
      </c>
      <c r="G184" s="6">
        <f>ABS((D184-'(검증1)이상치 검정'!$E$5)/'(검증1)이상치 검정'!$F$5)</f>
        <v>0.87610465360527756</v>
      </c>
      <c r="H184" s="25" t="str">
        <f>IF(G184&gt;'(검증1)이상치 검정'!$G$5,"Alert","")</f>
        <v/>
      </c>
    </row>
    <row r="185" spans="1:8">
      <c r="A185" s="2" t="s">
        <v>106</v>
      </c>
      <c r="B185" s="2">
        <v>12</v>
      </c>
      <c r="C185" s="2" t="s">
        <v>56</v>
      </c>
      <c r="D185" s="3">
        <v>44.1</v>
      </c>
      <c r="E185" s="11">
        <v>44422.939710648148</v>
      </c>
      <c r="G185" s="6">
        <f>ABS((D185-'(검증1)이상치 검정'!$E$5)/'(검증1)이상치 검정'!$F$5)</f>
        <v>1.478426602958828</v>
      </c>
      <c r="H185" s="25" t="str">
        <f>IF(G185&gt;'(검증1)이상치 검정'!$G$5,"Alert","")</f>
        <v/>
      </c>
    </row>
    <row r="186" spans="1:8">
      <c r="A186" s="2" t="s">
        <v>106</v>
      </c>
      <c r="B186" s="2">
        <v>13</v>
      </c>
      <c r="C186" s="2" t="s">
        <v>57</v>
      </c>
      <c r="D186" s="3">
        <v>46.2</v>
      </c>
      <c r="E186" s="11">
        <v>44422.940405092595</v>
      </c>
      <c r="G186" s="6">
        <f>ABS((D186-'(검증1)이상치 검정'!$E$5)/'(검증1)이상치 검정'!$F$5)</f>
        <v>1.2685265296993014</v>
      </c>
      <c r="H186" s="25" t="str">
        <f>IF(G186&gt;'(검증1)이상치 검정'!$G$5,"Alert","")</f>
        <v/>
      </c>
    </row>
    <row r="187" spans="1:8">
      <c r="A187" s="2" t="s">
        <v>106</v>
      </c>
      <c r="B187" s="2">
        <v>14</v>
      </c>
      <c r="C187" s="2" t="s">
        <v>58</v>
      </c>
      <c r="D187" s="3">
        <v>44.6</v>
      </c>
      <c r="E187" s="11">
        <v>44422.941099537034</v>
      </c>
      <c r="G187" s="6">
        <f>ABS((D187-'(검증1)이상치 검정'!$E$5)/'(검증1)이상치 검정'!$F$5)</f>
        <v>0.82439014280213097</v>
      </c>
      <c r="H187" s="25" t="str">
        <f>IF(G187&gt;'(검증1)이상치 검정'!$G$5,"Alert","")</f>
        <v/>
      </c>
    </row>
    <row r="188" spans="1:8">
      <c r="A188" s="2" t="s">
        <v>106</v>
      </c>
      <c r="B188" s="2">
        <v>15</v>
      </c>
      <c r="C188" s="2" t="s">
        <v>59</v>
      </c>
      <c r="D188" s="3">
        <v>45.3</v>
      </c>
      <c r="E188" s="11">
        <v>44422.941793981481</v>
      </c>
      <c r="G188" s="6">
        <f>ABS((D188-'(검증1)이상치 검정'!$E$5)/'(검증1)이상치 검정'!$F$5)</f>
        <v>9.1260901417239262E-2</v>
      </c>
      <c r="H188" s="25" t="str">
        <f>IF(G188&gt;'(검증1)이상치 검정'!$G$5,"Alert","")</f>
        <v/>
      </c>
    </row>
    <row r="189" spans="1:8">
      <c r="A189" s="2" t="s">
        <v>106</v>
      </c>
      <c r="B189" s="2">
        <v>16</v>
      </c>
      <c r="C189" s="2" t="s">
        <v>60</v>
      </c>
      <c r="D189" s="3">
        <v>45.4</v>
      </c>
      <c r="E189" s="11">
        <v>44422.942488425928</v>
      </c>
      <c r="G189" s="6">
        <f>ABS((D189-'(검증1)이상치 검정'!$E$5)/'(검증1)이상치 검정'!$F$5)</f>
        <v>0.22206819344858053</v>
      </c>
      <c r="H189" s="25" t="str">
        <f>IF(G189&gt;'(검증1)이상치 검정'!$G$5,"Alert","")</f>
        <v/>
      </c>
    </row>
    <row r="190" spans="1:8">
      <c r="A190" s="2" t="s">
        <v>106</v>
      </c>
      <c r="B190" s="2">
        <v>17</v>
      </c>
      <c r="C190" s="2" t="s">
        <v>61</v>
      </c>
      <c r="D190" s="3">
        <v>44.1</v>
      </c>
      <c r="E190" s="11">
        <v>44422.943182870367</v>
      </c>
      <c r="G190" s="6">
        <f>ABS((D190-'(검증1)이상치 검정'!$E$5)/'(검증1)이상치 검정'!$F$5)</f>
        <v>1.478426602958828</v>
      </c>
      <c r="H190" s="25" t="str">
        <f>IF(G190&gt;'(검증1)이상치 검정'!$G$5,"Alert","")</f>
        <v/>
      </c>
    </row>
    <row r="191" spans="1:8">
      <c r="A191" s="2" t="s">
        <v>106</v>
      </c>
      <c r="B191" s="2">
        <v>18</v>
      </c>
      <c r="C191" s="2" t="s">
        <v>62</v>
      </c>
      <c r="D191" s="3">
        <v>46</v>
      </c>
      <c r="E191" s="11">
        <v>44422.943877314814</v>
      </c>
      <c r="G191" s="6">
        <f>ABS((D191-'(검증1)이상치 검정'!$E$5)/'(검증1)이상치 검정'!$F$5)</f>
        <v>1.0069119456366189</v>
      </c>
      <c r="H191" s="25" t="str">
        <f>IF(G191&gt;'(검증1)이상치 검정'!$G$5,"Alert","")</f>
        <v/>
      </c>
    </row>
    <row r="192" spans="1:8">
      <c r="A192" s="2" t="s">
        <v>106</v>
      </c>
      <c r="B192" s="2">
        <v>19</v>
      </c>
      <c r="C192" s="2" t="s">
        <v>63</v>
      </c>
      <c r="D192" s="3">
        <v>44.8</v>
      </c>
      <c r="E192" s="11">
        <v>44422.944571759261</v>
      </c>
      <c r="G192" s="6">
        <f>ABS((D192-'(검증1)이상치 검정'!$E$5)/'(검증1)이상치 검정'!$F$5)</f>
        <v>0.56277555873945773</v>
      </c>
      <c r="H192" s="25" t="str">
        <f>IF(G192&gt;'(검증1)이상치 검정'!$G$5,"Alert","")</f>
        <v/>
      </c>
    </row>
    <row r="193" spans="1:8">
      <c r="A193" s="2" t="s">
        <v>106</v>
      </c>
      <c r="B193" s="2">
        <v>20</v>
      </c>
      <c r="C193" s="2" t="s">
        <v>64</v>
      </c>
      <c r="D193" s="3">
        <v>44.8</v>
      </c>
      <c r="E193" s="11">
        <v>44422.9452662037</v>
      </c>
      <c r="G193" s="6">
        <f>ABS((D193-'(검증1)이상치 검정'!$E$5)/'(검증1)이상치 검정'!$F$5)</f>
        <v>0.56277555873945773</v>
      </c>
      <c r="H193" s="25" t="str">
        <f>IF(G193&gt;'(검증1)이상치 검정'!$G$5,"Alert","")</f>
        <v/>
      </c>
    </row>
    <row r="194" spans="1:8">
      <c r="A194" s="2" t="s">
        <v>106</v>
      </c>
      <c r="B194" s="2">
        <v>21</v>
      </c>
      <c r="C194" s="2" t="s">
        <v>65</v>
      </c>
      <c r="D194" s="3">
        <v>45.6</v>
      </c>
      <c r="E194" s="11">
        <v>44422.945960648147</v>
      </c>
      <c r="G194" s="6">
        <f>ABS((D194-'(검증1)이상치 검정'!$E$5)/'(검증1)이상치 검정'!$F$5)</f>
        <v>0.48368277751126304</v>
      </c>
      <c r="H194" s="25" t="str">
        <f>IF(G194&gt;'(검증1)이상치 검정'!$G$5,"Alert","")</f>
        <v/>
      </c>
    </row>
    <row r="195" spans="1:8">
      <c r="A195" s="2" t="s">
        <v>106</v>
      </c>
      <c r="B195" s="2">
        <v>22</v>
      </c>
      <c r="C195" s="2" t="s">
        <v>66</v>
      </c>
      <c r="D195" s="3">
        <v>44.1</v>
      </c>
      <c r="E195" s="11">
        <v>44422.946655092594</v>
      </c>
      <c r="G195" s="6">
        <f>ABS((D195-'(검증1)이상치 검정'!$E$5)/'(검증1)이상치 검정'!$F$5)</f>
        <v>1.478426602958828</v>
      </c>
      <c r="H195" s="25" t="str">
        <f>IF(G195&gt;'(검증1)이상치 검정'!$G$5,"Alert","")</f>
        <v/>
      </c>
    </row>
    <row r="196" spans="1:8">
      <c r="A196" s="2" t="s">
        <v>106</v>
      </c>
      <c r="B196" s="2">
        <v>23</v>
      </c>
      <c r="C196" s="2" t="s">
        <v>67</v>
      </c>
      <c r="D196" s="3">
        <v>46.2</v>
      </c>
      <c r="E196" s="11">
        <v>44422.94734953704</v>
      </c>
      <c r="G196" s="6">
        <f>ABS((D196-'(검증1)이상치 검정'!$E$5)/'(검증1)이상치 검정'!$F$5)</f>
        <v>1.2685265296993014</v>
      </c>
      <c r="H196" s="25" t="str">
        <f>IF(G196&gt;'(검증1)이상치 검정'!$G$5,"Alert","")</f>
        <v/>
      </c>
    </row>
    <row r="197" spans="1:8">
      <c r="A197" s="2" t="s">
        <v>106</v>
      </c>
      <c r="B197" s="2">
        <v>24</v>
      </c>
      <c r="C197" s="2" t="s">
        <v>68</v>
      </c>
      <c r="D197" s="3">
        <v>44.7</v>
      </c>
      <c r="E197" s="11">
        <v>44422.94804398148</v>
      </c>
      <c r="G197" s="6">
        <f>ABS((D197-'(검증1)이상치 검정'!$E$5)/'(검증1)이상치 검정'!$F$5)</f>
        <v>0.69358285077078974</v>
      </c>
      <c r="H197" s="25" t="str">
        <f>IF(G197&gt;'(검증1)이상치 검정'!$G$5,"Alert","")</f>
        <v/>
      </c>
    </row>
    <row r="198" spans="1:8">
      <c r="A198" s="2" t="s">
        <v>106</v>
      </c>
      <c r="B198" s="2">
        <v>25</v>
      </c>
      <c r="C198" s="2" t="s">
        <v>69</v>
      </c>
      <c r="D198" s="3">
        <v>44.8</v>
      </c>
      <c r="E198" s="11">
        <v>44422.948738425926</v>
      </c>
      <c r="G198" s="6">
        <f>ABS((D198-'(검증1)이상치 검정'!$E$5)/'(검증1)이상치 검정'!$F$5)</f>
        <v>0.56277555873945773</v>
      </c>
      <c r="H198" s="25" t="str">
        <f>IF(G198&gt;'(검증1)이상치 검정'!$G$5,"Alert","")</f>
        <v/>
      </c>
    </row>
    <row r="199" spans="1:8">
      <c r="A199" s="2" t="s">
        <v>106</v>
      </c>
      <c r="B199" s="2">
        <v>26</v>
      </c>
      <c r="C199" s="2" t="s">
        <v>70</v>
      </c>
      <c r="D199" s="3">
        <v>45.6</v>
      </c>
      <c r="E199" s="11">
        <v>44422.949432870373</v>
      </c>
      <c r="G199" s="6">
        <f>ABS((D199-'(검증1)이상치 검정'!$E$5)/'(검증1)이상치 검정'!$F$5)</f>
        <v>0.48368277751126304</v>
      </c>
      <c r="H199" s="25" t="str">
        <f>IF(G199&gt;'(검증1)이상치 검정'!$G$5,"Alert","")</f>
        <v/>
      </c>
    </row>
    <row r="200" spans="1:8">
      <c r="A200" s="2" t="s">
        <v>106</v>
      </c>
      <c r="B200" s="2">
        <v>27</v>
      </c>
      <c r="C200" s="2" t="s">
        <v>71</v>
      </c>
      <c r="D200" s="3">
        <v>44.1</v>
      </c>
      <c r="E200" s="11">
        <v>44422.950127314813</v>
      </c>
      <c r="G200" s="6">
        <f>ABS((D200-'(검증1)이상치 검정'!$E$5)/'(검증1)이상치 검정'!$F$5)</f>
        <v>1.478426602958828</v>
      </c>
      <c r="H200" s="25" t="str">
        <f>IF(G200&gt;'(검증1)이상치 검정'!$G$5,"Alert","")</f>
        <v/>
      </c>
    </row>
    <row r="201" spans="1:8">
      <c r="A201" s="2" t="s">
        <v>106</v>
      </c>
      <c r="B201" s="2">
        <v>28</v>
      </c>
      <c r="C201" s="2" t="s">
        <v>72</v>
      </c>
      <c r="D201" s="3">
        <v>46.3</v>
      </c>
      <c r="E201" s="11">
        <v>44422.950821759259</v>
      </c>
      <c r="G201" s="6">
        <f>ABS((D201-'(검증1)이상치 검정'!$E$5)/'(검증1)이상치 검정'!$F$5)</f>
        <v>1.3993338217306333</v>
      </c>
      <c r="H201" s="25" t="str">
        <f>IF(G201&gt;'(검증1)이상치 검정'!$G$5,"Alert","")</f>
        <v/>
      </c>
    </row>
    <row r="202" spans="1:8">
      <c r="A202" s="2" t="s">
        <v>106</v>
      </c>
      <c r="B202" s="2">
        <v>29</v>
      </c>
      <c r="C202" s="2" t="s">
        <v>73</v>
      </c>
      <c r="D202" s="3">
        <v>44.6</v>
      </c>
      <c r="E202" s="11">
        <v>44422.951516203706</v>
      </c>
      <c r="G202" s="6">
        <f>ABS((D202-'(검증1)이상치 검정'!$E$5)/'(검증1)이상치 검정'!$F$5)</f>
        <v>0.82439014280213097</v>
      </c>
      <c r="H202" s="25" t="str">
        <f>IF(G202&gt;'(검증1)이상치 검정'!$G$5,"Alert","")</f>
        <v/>
      </c>
    </row>
    <row r="203" spans="1:8">
      <c r="A203" s="2" t="s">
        <v>106</v>
      </c>
      <c r="B203" s="2">
        <v>30</v>
      </c>
      <c r="C203" s="2" t="s">
        <v>74</v>
      </c>
      <c r="D203" s="3">
        <v>45.1</v>
      </c>
      <c r="E203" s="11">
        <v>44422.952210648145</v>
      </c>
      <c r="G203" s="6">
        <f>ABS((D203-'(검증1)이상치 검정'!$E$5)/'(검증1)이상치 검정'!$F$5)</f>
        <v>0.17035368264543396</v>
      </c>
      <c r="H203" s="25" t="str">
        <f>IF(G203&gt;'(검증1)이상치 검정'!$G$5,"Alert","")</f>
        <v/>
      </c>
    </row>
    <row r="204" spans="1:8">
      <c r="A204" s="2" t="s">
        <v>106</v>
      </c>
      <c r="B204" s="2">
        <v>31</v>
      </c>
      <c r="C204" s="2" t="s">
        <v>75</v>
      </c>
      <c r="D204" s="3">
        <v>45.8</v>
      </c>
      <c r="E204" s="11">
        <v>44422.952905092592</v>
      </c>
      <c r="G204" s="6">
        <f>ABS((D204-'(검증1)이상치 검정'!$E$5)/'(검증1)이상치 검정'!$F$5)</f>
        <v>0.74529736157393633</v>
      </c>
      <c r="H204" s="25" t="str">
        <f>IF(G204&gt;'(검증1)이상치 검정'!$G$5,"Alert","")</f>
        <v/>
      </c>
    </row>
    <row r="205" spans="1:8">
      <c r="A205" s="2" t="s">
        <v>106</v>
      </c>
      <c r="B205" s="2">
        <v>32</v>
      </c>
      <c r="C205" s="2" t="s">
        <v>76</v>
      </c>
      <c r="D205" s="3">
        <v>44.1</v>
      </c>
      <c r="E205" s="11">
        <v>44422.953599537039</v>
      </c>
      <c r="G205" s="6">
        <f>ABS((D205-'(검증1)이상치 검정'!$E$5)/'(검증1)이상치 검정'!$F$5)</f>
        <v>1.478426602958828</v>
      </c>
      <c r="H205" s="25" t="str">
        <f>IF(G205&gt;'(검증1)이상치 검정'!$G$5,"Alert","")</f>
        <v/>
      </c>
    </row>
    <row r="206" spans="1:8">
      <c r="A206" s="2" t="s">
        <v>106</v>
      </c>
      <c r="B206" s="2">
        <v>33</v>
      </c>
      <c r="C206" s="2" t="s">
        <v>77</v>
      </c>
      <c r="D206" s="3">
        <v>45.9</v>
      </c>
      <c r="E206" s="11">
        <v>44422.954293981478</v>
      </c>
      <c r="G206" s="6">
        <f>ABS((D206-'(검증1)이상치 검정'!$E$5)/'(검증1)이상치 검정'!$F$5)</f>
        <v>0.87610465360527756</v>
      </c>
      <c r="H206" s="25" t="str">
        <f>IF(G206&gt;'(검증1)이상치 검정'!$G$5,"Alert","")</f>
        <v/>
      </c>
    </row>
    <row r="207" spans="1:8">
      <c r="A207" s="2" t="s">
        <v>106</v>
      </c>
      <c r="B207" s="2">
        <v>34</v>
      </c>
      <c r="C207" s="2" t="s">
        <v>78</v>
      </c>
      <c r="D207" s="3">
        <v>45.2</v>
      </c>
      <c r="E207" s="11">
        <v>44422.954988425925</v>
      </c>
      <c r="G207" s="6">
        <f>ABS((D207-'(검증1)이상치 검정'!$E$5)/'(검증1)이상치 검정'!$F$5)</f>
        <v>3.9546390614092708E-2</v>
      </c>
      <c r="H207" s="25" t="str">
        <f>IF(G207&gt;'(검증1)이상치 검정'!$G$5,"Alert","")</f>
        <v/>
      </c>
    </row>
    <row r="208" spans="1:8">
      <c r="A208" s="2" t="s">
        <v>106</v>
      </c>
      <c r="B208" s="2">
        <v>35</v>
      </c>
      <c r="C208" s="2" t="s">
        <v>79</v>
      </c>
      <c r="D208" s="3">
        <v>45.2</v>
      </c>
      <c r="E208" s="11">
        <v>44422.955682870372</v>
      </c>
      <c r="G208" s="6">
        <f>ABS((D208-'(검증1)이상치 검정'!$E$5)/'(검증1)이상치 검정'!$F$5)</f>
        <v>3.9546390614092708E-2</v>
      </c>
      <c r="H208" s="25" t="str">
        <f>IF(G208&gt;'(검증1)이상치 검정'!$G$5,"Alert","")</f>
        <v/>
      </c>
    </row>
    <row r="209" spans="1:8">
      <c r="A209" s="2" t="s">
        <v>106</v>
      </c>
      <c r="B209" s="2">
        <v>36</v>
      </c>
      <c r="C209" s="2" t="s">
        <v>80</v>
      </c>
      <c r="D209" s="3">
        <v>46</v>
      </c>
      <c r="E209" s="11">
        <v>44422.956377314818</v>
      </c>
      <c r="G209" s="6">
        <f>ABS((D209-'(검증1)이상치 검정'!$E$5)/'(검증1)이상치 검정'!$F$5)</f>
        <v>1.0069119456366189</v>
      </c>
      <c r="H209" s="25" t="str">
        <f>IF(G209&gt;'(검증1)이상치 검정'!$G$5,"Alert","")</f>
        <v/>
      </c>
    </row>
    <row r="210" spans="1:8">
      <c r="A210" s="2" t="s">
        <v>106</v>
      </c>
      <c r="B210" s="2">
        <v>37</v>
      </c>
      <c r="C210" s="2" t="s">
        <v>81</v>
      </c>
      <c r="D210" s="3">
        <v>44.1</v>
      </c>
      <c r="E210" s="11">
        <v>44422.957071759258</v>
      </c>
      <c r="G210" s="6">
        <f>ABS((D210-'(검증1)이상치 검정'!$E$5)/'(검증1)이상치 검정'!$F$5)</f>
        <v>1.478426602958828</v>
      </c>
      <c r="H210" s="25" t="str">
        <f>IF(G210&gt;'(검증1)이상치 검정'!$G$5,"Alert","")</f>
        <v/>
      </c>
    </row>
    <row r="211" spans="1:8">
      <c r="A211" s="2" t="s">
        <v>106</v>
      </c>
      <c r="B211" s="2">
        <v>38</v>
      </c>
      <c r="C211" s="2" t="s">
        <v>82</v>
      </c>
      <c r="D211" s="3">
        <v>46.3</v>
      </c>
      <c r="E211" s="11">
        <v>44422.957766203705</v>
      </c>
      <c r="G211" s="6">
        <f>ABS((D211-'(검증1)이상치 검정'!$E$5)/'(검증1)이상치 검정'!$F$5)</f>
        <v>1.3993338217306333</v>
      </c>
      <c r="H211" s="25" t="str">
        <f>IF(G211&gt;'(검증1)이상치 검정'!$G$5,"Alert","")</f>
        <v/>
      </c>
    </row>
    <row r="212" spans="1:8">
      <c r="A212" s="2" t="s">
        <v>106</v>
      </c>
      <c r="B212" s="2">
        <v>39</v>
      </c>
      <c r="C212" s="2" t="s">
        <v>83</v>
      </c>
      <c r="D212" s="3">
        <v>44.8</v>
      </c>
      <c r="E212" s="11">
        <v>44422.958460648151</v>
      </c>
      <c r="G212" s="6">
        <f>ABS((D212-'(검증1)이상치 검정'!$E$5)/'(검증1)이상치 검정'!$F$5)</f>
        <v>0.56277555873945773</v>
      </c>
      <c r="H212" s="25" t="str">
        <f>IF(G212&gt;'(검증1)이상치 검정'!$G$5,"Alert","")</f>
        <v/>
      </c>
    </row>
    <row r="213" spans="1:8">
      <c r="A213" s="2" t="s">
        <v>106</v>
      </c>
      <c r="B213" s="2">
        <v>40</v>
      </c>
      <c r="C213" s="2" t="s">
        <v>84</v>
      </c>
      <c r="D213" s="3">
        <v>45.1</v>
      </c>
      <c r="E213" s="11">
        <v>44422.959155092591</v>
      </c>
      <c r="G213" s="6">
        <f>ABS((D213-'(검증1)이상치 검정'!$E$5)/'(검증1)이상치 검정'!$F$5)</f>
        <v>0.17035368264543396</v>
      </c>
      <c r="H213" s="25" t="str">
        <f>IF(G213&gt;'(검증1)이상치 검정'!$G$5,"Alert","")</f>
        <v/>
      </c>
    </row>
    <row r="214" spans="1:8">
      <c r="A214" s="2" t="s">
        <v>106</v>
      </c>
      <c r="B214" s="2">
        <v>41</v>
      </c>
      <c r="C214" s="2" t="s">
        <v>85</v>
      </c>
      <c r="D214" s="3">
        <v>45.6</v>
      </c>
      <c r="E214" s="11">
        <v>44422.959849537037</v>
      </c>
      <c r="G214" s="6">
        <f>ABS((D214-'(검증1)이상치 검정'!$E$5)/'(검증1)이상치 검정'!$F$5)</f>
        <v>0.48368277751126304</v>
      </c>
      <c r="H214" s="25" t="str">
        <f>IF(G214&gt;'(검증1)이상치 검정'!$G$5,"Alert","")</f>
        <v/>
      </c>
    </row>
    <row r="215" spans="1:8">
      <c r="A215" s="2" t="s">
        <v>106</v>
      </c>
      <c r="B215" s="2">
        <v>42</v>
      </c>
      <c r="C215" s="2" t="s">
        <v>86</v>
      </c>
      <c r="D215" s="3">
        <v>43.8</v>
      </c>
      <c r="E215" s="11">
        <v>44422.960543981484</v>
      </c>
      <c r="G215" s="6">
        <f>ABS((D215-'(검증1)이상치 검정'!$E$5)/'(검증1)이상치 검정'!$F$5)</f>
        <v>1.8708484790528519</v>
      </c>
      <c r="H215" s="25" t="str">
        <f>IF(G215&gt;'(검증1)이상치 검정'!$G$5,"Alert","")</f>
        <v>Alert</v>
      </c>
    </row>
    <row r="216" spans="1:8">
      <c r="A216" s="2" t="s">
        <v>106</v>
      </c>
      <c r="B216" s="2">
        <v>43</v>
      </c>
      <c r="C216" s="2" t="s">
        <v>87</v>
      </c>
      <c r="D216" s="3">
        <v>46</v>
      </c>
      <c r="E216" s="11">
        <v>44422.961238425924</v>
      </c>
      <c r="G216" s="6">
        <f>ABS((D216-'(검증1)이상치 검정'!$E$5)/'(검증1)이상치 검정'!$F$5)</f>
        <v>1.0069119456366189</v>
      </c>
      <c r="H216" s="25" t="str">
        <f>IF(G216&gt;'(검증1)이상치 검정'!$G$5,"Alert","")</f>
        <v/>
      </c>
    </row>
    <row r="217" spans="1:8">
      <c r="A217" s="2" t="s">
        <v>106</v>
      </c>
      <c r="B217" s="2">
        <v>44</v>
      </c>
      <c r="C217" s="2" t="s">
        <v>88</v>
      </c>
      <c r="D217" s="3">
        <v>44.7</v>
      </c>
      <c r="E217" s="11">
        <v>44422.96193287037</v>
      </c>
      <c r="G217" s="6">
        <f>ABS((D217-'(검증1)이상치 검정'!$E$5)/'(검증1)이상치 검정'!$F$5)</f>
        <v>0.69358285077078974</v>
      </c>
      <c r="H217" s="25" t="str">
        <f>IF(G217&gt;'(검증1)이상치 검정'!$G$5,"Alert","")</f>
        <v/>
      </c>
    </row>
    <row r="218" spans="1:8">
      <c r="A218" s="2" t="s">
        <v>106</v>
      </c>
      <c r="B218" s="2">
        <v>45</v>
      </c>
      <c r="C218" s="2" t="s">
        <v>89</v>
      </c>
      <c r="D218" s="3">
        <v>45.2</v>
      </c>
      <c r="E218" s="11">
        <v>44422.962627314817</v>
      </c>
      <c r="G218" s="6">
        <f>ABS((D218-'(검증1)이상치 검정'!$E$5)/'(검증1)이상치 검정'!$F$5)</f>
        <v>3.9546390614092708E-2</v>
      </c>
      <c r="H218" s="25" t="str">
        <f>IF(G218&gt;'(검증1)이상치 검정'!$G$5,"Alert","")</f>
        <v/>
      </c>
    </row>
    <row r="219" spans="1:8">
      <c r="A219" s="2" t="s">
        <v>106</v>
      </c>
      <c r="B219" s="2">
        <v>46</v>
      </c>
      <c r="C219" s="2" t="s">
        <v>90</v>
      </c>
      <c r="D219" s="3">
        <v>45.9</v>
      </c>
      <c r="E219" s="11">
        <v>44422.963321759256</v>
      </c>
      <c r="G219" s="6">
        <f>ABS((D219-'(검증1)이상치 검정'!$E$5)/'(검증1)이상치 검정'!$F$5)</f>
        <v>0.87610465360527756</v>
      </c>
      <c r="H219" s="25" t="str">
        <f>IF(G219&gt;'(검증1)이상치 검정'!$G$5,"Alert","")</f>
        <v/>
      </c>
    </row>
    <row r="220" spans="1:8">
      <c r="A220" s="2" t="s">
        <v>106</v>
      </c>
      <c r="B220" s="2">
        <v>47</v>
      </c>
      <c r="C220" s="2" t="s">
        <v>91</v>
      </c>
      <c r="D220" s="3">
        <v>44</v>
      </c>
      <c r="E220" s="11">
        <v>44422.964016203703</v>
      </c>
      <c r="G220" s="6">
        <f>ABS((D220-'(검증1)이상치 검정'!$E$5)/'(검증1)이상치 검정'!$F$5)</f>
        <v>1.6092338949901692</v>
      </c>
      <c r="H220" s="25" t="str">
        <f>IF(G220&gt;'(검증1)이상치 검정'!$G$5,"Alert","")</f>
        <v/>
      </c>
    </row>
    <row r="221" spans="1:8">
      <c r="A221" s="2" t="s">
        <v>106</v>
      </c>
      <c r="B221" s="2">
        <v>48</v>
      </c>
      <c r="C221" s="2" t="s">
        <v>92</v>
      </c>
      <c r="D221" s="3">
        <v>46</v>
      </c>
      <c r="E221" s="11">
        <v>44422.96471064815</v>
      </c>
      <c r="G221" s="6">
        <f>ABS((D221-'(검증1)이상치 검정'!$E$5)/'(검증1)이상치 검정'!$F$5)</f>
        <v>1.0069119456366189</v>
      </c>
      <c r="H221" s="25" t="str">
        <f>IF(G221&gt;'(검증1)이상치 검정'!$G$5,"Alert","")</f>
        <v/>
      </c>
    </row>
    <row r="222" spans="1:8">
      <c r="A222" s="2" t="s">
        <v>106</v>
      </c>
      <c r="B222" s="2">
        <v>49</v>
      </c>
      <c r="C222" s="2" t="s">
        <v>93</v>
      </c>
      <c r="D222" s="3">
        <v>44.7</v>
      </c>
      <c r="E222" s="11">
        <v>44422.965405092589</v>
      </c>
      <c r="G222" s="6">
        <f>ABS((D222-'(검증1)이상치 검정'!$E$5)/'(검증1)이상치 검정'!$F$5)</f>
        <v>0.69358285077078974</v>
      </c>
      <c r="H222" s="25" t="str">
        <f>IF(G222&gt;'(검증1)이상치 검정'!$G$5,"Alert","")</f>
        <v/>
      </c>
    </row>
    <row r="223" spans="1:8">
      <c r="A223" s="2" t="s">
        <v>106</v>
      </c>
      <c r="B223" s="2">
        <v>50</v>
      </c>
      <c r="C223" s="2" t="s">
        <v>94</v>
      </c>
      <c r="D223" s="3">
        <v>45.7</v>
      </c>
      <c r="E223" s="11">
        <v>44422.966099537036</v>
      </c>
      <c r="G223" s="6">
        <f>ABS((D223-'(검증1)이상치 검정'!$E$5)/'(검증1)이상치 검정'!$F$5)</f>
        <v>0.61449006954260432</v>
      </c>
      <c r="H223" s="25" t="str">
        <f>IF(G223&gt;'(검증1)이상치 검정'!$G$5,"Alert","")</f>
        <v/>
      </c>
    </row>
    <row r="224" spans="1:8">
      <c r="A224" s="2" t="s">
        <v>106</v>
      </c>
      <c r="B224" s="2">
        <v>51</v>
      </c>
      <c r="C224" s="2" t="s">
        <v>20</v>
      </c>
      <c r="D224" s="3">
        <v>46.1</v>
      </c>
      <c r="E224" s="11">
        <v>44422.966793981483</v>
      </c>
      <c r="G224" s="6">
        <f>ABS((D224-'(검증1)이상치 검정'!$E$5)/'(검증1)이상치 검정'!$F$5)</f>
        <v>1.1377192376679601</v>
      </c>
      <c r="H224" s="25" t="str">
        <f>IF(G224&gt;'(검증1)이상치 검정'!$G$5,"Alert","")</f>
        <v/>
      </c>
    </row>
    <row r="225" spans="1:8">
      <c r="A225" s="2" t="s">
        <v>106</v>
      </c>
      <c r="B225" s="2">
        <v>52</v>
      </c>
      <c r="C225" s="2" t="s">
        <v>21</v>
      </c>
      <c r="D225" s="3">
        <v>43.7</v>
      </c>
      <c r="E225" s="11">
        <v>44422.967488425929</v>
      </c>
      <c r="G225" s="6">
        <f>ABS((D225-'(검증1)이상치 검정'!$E$5)/'(검증1)이상치 검정'!$F$5)</f>
        <v>2.001655771084184</v>
      </c>
      <c r="H225" s="25" t="str">
        <f>IF(G225&gt;'(검증1)이상치 검정'!$G$5,"Alert","")</f>
        <v>Alert</v>
      </c>
    </row>
    <row r="226" spans="1:8">
      <c r="A226" s="2" t="s">
        <v>106</v>
      </c>
      <c r="B226" s="2">
        <v>53</v>
      </c>
      <c r="C226" s="2" t="s">
        <v>22</v>
      </c>
      <c r="D226" s="3">
        <v>46.2</v>
      </c>
      <c r="E226" s="11">
        <v>44422.968182870369</v>
      </c>
      <c r="G226" s="6">
        <f>ABS((D226-'(검증1)이상치 검정'!$E$5)/'(검증1)이상치 검정'!$F$5)</f>
        <v>1.2685265296993014</v>
      </c>
      <c r="H226" s="25" t="str">
        <f>IF(G226&gt;'(검증1)이상치 검정'!$G$5,"Alert","")</f>
        <v/>
      </c>
    </row>
    <row r="227" spans="1:8">
      <c r="A227" s="2" t="s">
        <v>106</v>
      </c>
      <c r="B227" s="2">
        <v>54</v>
      </c>
      <c r="C227" s="2" t="s">
        <v>23</v>
      </c>
      <c r="D227" s="3">
        <v>45.2</v>
      </c>
      <c r="E227" s="11">
        <v>44422.968877314815</v>
      </c>
      <c r="G227" s="6">
        <f>ABS((D227-'(검증1)이상치 검정'!$E$5)/'(검증1)이상치 검정'!$F$5)</f>
        <v>3.9546390614092708E-2</v>
      </c>
      <c r="H227" s="25" t="str">
        <f>IF(G227&gt;'(검증1)이상치 검정'!$G$5,"Alert","")</f>
        <v/>
      </c>
    </row>
    <row r="228" spans="1:8">
      <c r="A228" s="2" t="s">
        <v>106</v>
      </c>
      <c r="B228" s="2">
        <v>55</v>
      </c>
      <c r="C228" s="2" t="s">
        <v>24</v>
      </c>
      <c r="D228" s="3">
        <v>45.4</v>
      </c>
      <c r="E228" s="11">
        <v>44422.969571759262</v>
      </c>
      <c r="G228" s="6">
        <f>ABS((D228-'(검증1)이상치 검정'!$E$5)/'(검증1)이상치 검정'!$F$5)</f>
        <v>0.22206819344858053</v>
      </c>
      <c r="H228" s="25" t="str">
        <f>IF(G228&gt;'(검증1)이상치 검정'!$G$5,"Alert","")</f>
        <v/>
      </c>
    </row>
    <row r="229" spans="1:8">
      <c r="A229" s="2" t="s">
        <v>106</v>
      </c>
      <c r="B229" s="2">
        <v>56</v>
      </c>
      <c r="C229" s="2" t="s">
        <v>25</v>
      </c>
      <c r="D229" s="3">
        <v>45.9</v>
      </c>
      <c r="E229" s="11">
        <v>44422.970266203702</v>
      </c>
      <c r="G229" s="6">
        <f>ABS((D229-'(검증1)이상치 검정'!$E$5)/'(검증1)이상치 검정'!$F$5)</f>
        <v>0.87610465360527756</v>
      </c>
      <c r="H229" s="25" t="str">
        <f>IF(G229&gt;'(검증1)이상치 검정'!$G$5,"Alert","")</f>
        <v/>
      </c>
    </row>
    <row r="230" spans="1:8">
      <c r="A230" s="2" t="s">
        <v>106</v>
      </c>
      <c r="B230" s="2">
        <v>57</v>
      </c>
      <c r="C230" s="2" t="s">
        <v>26</v>
      </c>
      <c r="D230" s="3">
        <v>44.1</v>
      </c>
      <c r="E230" s="11">
        <v>44422.970960648148</v>
      </c>
      <c r="G230" s="6">
        <f>ABS((D230-'(검증1)이상치 검정'!$E$5)/'(검증1)이상치 검정'!$F$5)</f>
        <v>1.478426602958828</v>
      </c>
      <c r="H230" s="25" t="str">
        <f>IF(G230&gt;'(검증1)이상치 검정'!$G$5,"Alert","")</f>
        <v/>
      </c>
    </row>
    <row r="231" spans="1:8">
      <c r="A231" s="2" t="s">
        <v>106</v>
      </c>
      <c r="B231" s="2">
        <v>58</v>
      </c>
      <c r="C231" s="2" t="s">
        <v>27</v>
      </c>
      <c r="D231" s="3">
        <v>46.3</v>
      </c>
      <c r="E231" s="11">
        <v>44422.971655092595</v>
      </c>
      <c r="G231" s="6">
        <f>ABS((D231-'(검증1)이상치 검정'!$E$5)/'(검증1)이상치 검정'!$F$5)</f>
        <v>1.3993338217306333</v>
      </c>
      <c r="H231" s="25" t="str">
        <f>IF(G231&gt;'(검증1)이상치 검정'!$G$5,"Alert","")</f>
        <v/>
      </c>
    </row>
    <row r="232" spans="1:8">
      <c r="A232" s="2" t="s">
        <v>106</v>
      </c>
      <c r="B232" s="2">
        <v>59</v>
      </c>
      <c r="C232" s="2" t="s">
        <v>28</v>
      </c>
      <c r="D232" s="3">
        <v>45.1</v>
      </c>
      <c r="E232" s="11">
        <v>44422.972349537034</v>
      </c>
      <c r="G232" s="6">
        <f>ABS((D232-'(검증1)이상치 검정'!$E$5)/'(검증1)이상치 검정'!$F$5)</f>
        <v>0.17035368264543396</v>
      </c>
      <c r="H232" s="25" t="str">
        <f>IF(G232&gt;'(검증1)이상치 검정'!$G$5,"Alert","")</f>
        <v/>
      </c>
    </row>
    <row r="233" spans="1:8">
      <c r="A233" s="2" t="s">
        <v>106</v>
      </c>
      <c r="B233" s="2">
        <v>60</v>
      </c>
      <c r="C233" s="2" t="s">
        <v>29</v>
      </c>
      <c r="D233" s="3">
        <v>45.2</v>
      </c>
      <c r="E233" s="11">
        <v>44422.973043981481</v>
      </c>
      <c r="G233" s="6">
        <f>ABS((D233-'(검증1)이상치 검정'!$E$5)/'(검증1)이상치 검정'!$F$5)</f>
        <v>3.9546390614092708E-2</v>
      </c>
      <c r="H233" s="25" t="str">
        <f>IF(G233&gt;'(검증1)이상치 검정'!$G$5,"Alert","")</f>
        <v/>
      </c>
    </row>
    <row r="234" spans="1:8">
      <c r="A234" s="2" t="s">
        <v>106</v>
      </c>
      <c r="B234" s="2">
        <v>61</v>
      </c>
      <c r="C234" s="2" t="s">
        <v>30</v>
      </c>
      <c r="D234" s="3">
        <v>46</v>
      </c>
      <c r="E234" s="11">
        <v>44422.973738425928</v>
      </c>
      <c r="G234" s="6">
        <f>ABS((D234-'(검증1)이상치 검정'!$E$5)/'(검증1)이상치 검정'!$F$5)</f>
        <v>1.0069119456366189</v>
      </c>
      <c r="H234" s="25" t="str">
        <f>IF(G234&gt;'(검증1)이상치 검정'!$G$5,"Alert","")</f>
        <v/>
      </c>
    </row>
    <row r="235" spans="1:8">
      <c r="A235" s="2" t="s">
        <v>106</v>
      </c>
      <c r="B235" s="2">
        <v>62</v>
      </c>
      <c r="C235" s="2" t="s">
        <v>31</v>
      </c>
      <c r="D235" s="3">
        <v>44.1</v>
      </c>
      <c r="E235" s="11">
        <v>44422.974432870367</v>
      </c>
      <c r="G235" s="6">
        <f>ABS((D235-'(검증1)이상치 검정'!$E$5)/'(검증1)이상치 검정'!$F$5)</f>
        <v>1.478426602958828</v>
      </c>
      <c r="H235" s="25" t="str">
        <f>IF(G235&gt;'(검증1)이상치 검정'!$G$5,"Alert","")</f>
        <v/>
      </c>
    </row>
    <row r="236" spans="1:8">
      <c r="A236" s="2" t="s">
        <v>106</v>
      </c>
      <c r="B236" s="2">
        <v>63</v>
      </c>
      <c r="C236" s="2" t="s">
        <v>32</v>
      </c>
      <c r="D236" s="3">
        <v>45.8</v>
      </c>
      <c r="E236" s="11">
        <v>44422.975127314814</v>
      </c>
      <c r="G236" s="6">
        <f>ABS((D236-'(검증1)이상치 검정'!$E$5)/'(검증1)이상치 검정'!$F$5)</f>
        <v>0.74529736157393633</v>
      </c>
      <c r="H236" s="25" t="str">
        <f>IF(G236&gt;'(검증1)이상치 검정'!$G$5,"Alert","")</f>
        <v/>
      </c>
    </row>
    <row r="237" spans="1:8">
      <c r="A237" s="2" t="s">
        <v>106</v>
      </c>
      <c r="B237" s="2">
        <v>64</v>
      </c>
      <c r="C237" s="2" t="s">
        <v>33</v>
      </c>
      <c r="D237" s="3">
        <v>45.3</v>
      </c>
      <c r="E237" s="11">
        <v>44422.975821759261</v>
      </c>
      <c r="G237" s="6">
        <f>ABS((D237-'(검증1)이상치 검정'!$E$5)/'(검증1)이상치 검정'!$F$5)</f>
        <v>9.1260901417239262E-2</v>
      </c>
      <c r="H237" s="25" t="str">
        <f>IF(G237&gt;'(검증1)이상치 검정'!$G$5,"Alert","")</f>
        <v/>
      </c>
    </row>
    <row r="238" spans="1:8">
      <c r="A238" s="2" t="s">
        <v>106</v>
      </c>
      <c r="B238" s="2">
        <v>65</v>
      </c>
      <c r="C238" s="2" t="s">
        <v>34</v>
      </c>
      <c r="D238" s="3">
        <v>45.3</v>
      </c>
      <c r="E238" s="11">
        <v>44422.9765162037</v>
      </c>
      <c r="G238" s="6">
        <f>ABS((D238-'(검증1)이상치 검정'!$E$5)/'(검증1)이상치 검정'!$F$5)</f>
        <v>9.1260901417239262E-2</v>
      </c>
      <c r="H238" s="25" t="str">
        <f>IF(G238&gt;'(검증1)이상치 검정'!$G$5,"Alert","")</f>
        <v/>
      </c>
    </row>
    <row r="239" spans="1:8">
      <c r="A239" s="2" t="s">
        <v>106</v>
      </c>
      <c r="B239" s="2">
        <v>66</v>
      </c>
      <c r="C239" s="2" t="s">
        <v>35</v>
      </c>
      <c r="D239" s="3">
        <v>45.6</v>
      </c>
      <c r="E239" s="11">
        <v>44422.977210648147</v>
      </c>
      <c r="G239" s="6">
        <f>ABS((D239-'(검증1)이상치 검정'!$E$5)/'(검증1)이상치 검정'!$F$5)</f>
        <v>0.48368277751126304</v>
      </c>
      <c r="H239" s="25" t="str">
        <f>IF(G239&gt;'(검증1)이상치 검정'!$G$5,"Alert","")</f>
        <v/>
      </c>
    </row>
    <row r="240" spans="1:8">
      <c r="A240" s="2" t="s">
        <v>106</v>
      </c>
      <c r="B240" s="2">
        <v>67</v>
      </c>
      <c r="C240" s="2" t="s">
        <v>36</v>
      </c>
      <c r="D240" s="3">
        <v>44</v>
      </c>
      <c r="E240" s="11">
        <v>44422.977905092594</v>
      </c>
      <c r="G240" s="6">
        <f>ABS((D240-'(검증1)이상치 검정'!$E$5)/'(검증1)이상치 검정'!$F$5)</f>
        <v>1.6092338949901692</v>
      </c>
      <c r="H240" s="25" t="str">
        <f>IF(G240&gt;'(검증1)이상치 검정'!$G$5,"Alert","")</f>
        <v/>
      </c>
    </row>
    <row r="241" spans="1:8">
      <c r="A241" s="2" t="s">
        <v>106</v>
      </c>
      <c r="B241" s="2">
        <v>68</v>
      </c>
      <c r="C241" s="2" t="s">
        <v>37</v>
      </c>
      <c r="D241" s="3">
        <v>46.3</v>
      </c>
      <c r="E241" s="11">
        <v>44422.97859953704</v>
      </c>
      <c r="G241" s="6">
        <f>ABS((D241-'(검증1)이상치 검정'!$E$5)/'(검증1)이상치 검정'!$F$5)</f>
        <v>1.3993338217306333</v>
      </c>
      <c r="H241" s="25" t="str">
        <f>IF(G241&gt;'(검증1)이상치 검정'!$G$5,"Alert","")</f>
        <v/>
      </c>
    </row>
    <row r="242" spans="1:8">
      <c r="A242" s="2" t="s">
        <v>106</v>
      </c>
      <c r="B242" s="2">
        <v>69</v>
      </c>
      <c r="C242" s="2" t="s">
        <v>38</v>
      </c>
      <c r="D242" s="3">
        <v>45.2</v>
      </c>
      <c r="E242" s="11">
        <v>44422.97929398148</v>
      </c>
      <c r="G242" s="6">
        <f>ABS((D242-'(검증1)이상치 검정'!$E$5)/'(검증1)이상치 검정'!$F$5)</f>
        <v>3.9546390614092708E-2</v>
      </c>
      <c r="H242" s="25" t="str">
        <f>IF(G242&gt;'(검증1)이상치 검정'!$G$5,"Alert","")</f>
        <v/>
      </c>
    </row>
    <row r="243" spans="1:8">
      <c r="A243" s="2" t="s">
        <v>106</v>
      </c>
      <c r="B243" s="2">
        <v>70</v>
      </c>
      <c r="C243" s="2" t="s">
        <v>39</v>
      </c>
      <c r="D243" s="3">
        <v>45.3</v>
      </c>
      <c r="E243" s="11">
        <v>44422.979988425926</v>
      </c>
      <c r="G243" s="6">
        <f>ABS((D243-'(검증1)이상치 검정'!$E$5)/'(검증1)이상치 검정'!$F$5)</f>
        <v>9.1260901417239262E-2</v>
      </c>
      <c r="H243" s="25" t="str">
        <f>IF(G243&gt;'(검증1)이상치 검정'!$G$5,"Alert","")</f>
        <v/>
      </c>
    </row>
    <row r="244" spans="1:8">
      <c r="A244" s="2" t="s">
        <v>106</v>
      </c>
      <c r="B244" s="2">
        <v>71</v>
      </c>
      <c r="C244" s="2" t="s">
        <v>40</v>
      </c>
      <c r="D244" s="3">
        <v>46.1</v>
      </c>
      <c r="E244" s="11">
        <v>44422.980682870373</v>
      </c>
      <c r="G244" s="6">
        <f>ABS((D244-'(검증1)이상치 검정'!$E$5)/'(검증1)이상치 검정'!$F$5)</f>
        <v>1.1377192376679601</v>
      </c>
      <c r="H244" s="25" t="str">
        <f>IF(G244&gt;'(검증1)이상치 검정'!$G$5,"Alert","")</f>
        <v/>
      </c>
    </row>
    <row r="245" spans="1:8">
      <c r="A245" s="2" t="s">
        <v>106</v>
      </c>
      <c r="B245" s="2">
        <v>72</v>
      </c>
      <c r="C245" s="2" t="s">
        <v>41</v>
      </c>
      <c r="D245" s="3">
        <v>44.1</v>
      </c>
      <c r="E245" s="11">
        <v>44422.981377314813</v>
      </c>
      <c r="G245" s="6">
        <f>ABS((D245-'(검증1)이상치 검정'!$E$5)/'(검증1)이상치 검정'!$F$5)</f>
        <v>1.478426602958828</v>
      </c>
      <c r="H245" s="25" t="str">
        <f>IF(G245&gt;'(검증1)이상치 검정'!$G$5,"Alert","")</f>
        <v/>
      </c>
    </row>
    <row r="246" spans="1:8">
      <c r="A246" s="2" t="s">
        <v>106</v>
      </c>
      <c r="B246" s="2">
        <v>73</v>
      </c>
      <c r="C246" s="2" t="s">
        <v>42</v>
      </c>
      <c r="D246" s="3">
        <v>46.6</v>
      </c>
      <c r="E246" s="11">
        <v>44422.982071759259</v>
      </c>
      <c r="G246" s="6">
        <f>ABS((D246-'(검증1)이상치 검정'!$E$5)/'(검증1)이상치 검정'!$F$5)</f>
        <v>1.7917556978246572</v>
      </c>
      <c r="H246" s="25" t="str">
        <f>IF(G246&gt;'(검증1)이상치 검정'!$G$5,"Alert","")</f>
        <v>Alert</v>
      </c>
    </row>
    <row r="247" spans="1:8">
      <c r="A247" s="2" t="s">
        <v>106</v>
      </c>
      <c r="B247" s="2">
        <v>74</v>
      </c>
      <c r="C247" s="2" t="s">
        <v>43</v>
      </c>
      <c r="D247" s="3">
        <v>45</v>
      </c>
      <c r="E247" s="11">
        <v>44422.982766203706</v>
      </c>
      <c r="G247" s="6">
        <f>ABS((D247-'(검증1)이상치 검정'!$E$5)/'(검증1)이상치 검정'!$F$5)</f>
        <v>0.30116097467677522</v>
      </c>
      <c r="H247" s="25" t="str">
        <f>IF(G247&gt;'(검증1)이상치 검정'!$G$5,"Alert","")</f>
        <v/>
      </c>
    </row>
    <row r="248" spans="1:8">
      <c r="A248" s="2" t="s">
        <v>106</v>
      </c>
      <c r="B248" s="2">
        <v>75</v>
      </c>
      <c r="C248" s="2" t="s">
        <v>44</v>
      </c>
      <c r="D248" s="3">
        <v>45.5</v>
      </c>
      <c r="E248" s="11">
        <v>44422.983460648145</v>
      </c>
      <c r="G248" s="6">
        <f>ABS((D248-'(검증1)이상치 검정'!$E$5)/'(검증1)이상치 검정'!$F$5)</f>
        <v>0.35287548547992181</v>
      </c>
      <c r="H248" s="25" t="str">
        <f>IF(G248&gt;'(검증1)이상치 검정'!$G$5,"Alert","")</f>
        <v/>
      </c>
    </row>
    <row r="249" spans="1:8">
      <c r="A249" s="2" t="s">
        <v>106</v>
      </c>
      <c r="B249" s="2">
        <v>76</v>
      </c>
      <c r="C249" s="2" t="s">
        <v>95</v>
      </c>
      <c r="D249" s="3">
        <v>45.7</v>
      </c>
      <c r="E249" s="11">
        <v>44422.984155092592</v>
      </c>
      <c r="G249" s="6">
        <f>ABS((D249-'(검증1)이상치 검정'!$E$5)/'(검증1)이상치 검정'!$F$5)</f>
        <v>0.61449006954260432</v>
      </c>
      <c r="H249" s="25" t="str">
        <f>IF(G249&gt;'(검증1)이상치 검정'!$G$5,"Alert","")</f>
        <v/>
      </c>
    </row>
    <row r="250" spans="1:8">
      <c r="A250" s="2" t="s">
        <v>106</v>
      </c>
      <c r="B250" s="2">
        <v>77</v>
      </c>
      <c r="C250" s="2" t="s">
        <v>96</v>
      </c>
      <c r="D250" s="3">
        <v>44.1</v>
      </c>
      <c r="E250" s="11">
        <v>44422.984849537039</v>
      </c>
      <c r="G250" s="6">
        <f>ABS((D250-'(검증1)이상치 검정'!$E$5)/'(검증1)이상치 검정'!$F$5)</f>
        <v>1.478426602958828</v>
      </c>
      <c r="H250" s="25" t="str">
        <f>IF(G250&gt;'(검증1)이상치 검정'!$G$5,"Alert","")</f>
        <v/>
      </c>
    </row>
    <row r="251" spans="1:8">
      <c r="A251" s="2" t="s">
        <v>106</v>
      </c>
      <c r="B251" s="2">
        <v>78</v>
      </c>
      <c r="C251" s="2" t="s">
        <v>97</v>
      </c>
      <c r="D251" s="3">
        <v>46.6</v>
      </c>
      <c r="E251" s="11">
        <v>44422.985543981478</v>
      </c>
      <c r="G251" s="6">
        <f>ABS((D251-'(검증1)이상치 검정'!$E$5)/'(검증1)이상치 검정'!$F$5)</f>
        <v>1.7917556978246572</v>
      </c>
      <c r="H251" s="25" t="str">
        <f>IF(G251&gt;'(검증1)이상치 검정'!$G$5,"Alert","")</f>
        <v>Alert</v>
      </c>
    </row>
    <row r="252" spans="1:8">
      <c r="A252" s="2" t="s">
        <v>106</v>
      </c>
      <c r="B252" s="2">
        <v>79</v>
      </c>
      <c r="C252" s="2" t="s">
        <v>98</v>
      </c>
      <c r="D252" s="3">
        <v>45</v>
      </c>
      <c r="E252" s="11">
        <v>44422.986238425925</v>
      </c>
      <c r="G252" s="6">
        <f>ABS((D252-'(검증1)이상치 검정'!$E$5)/'(검증1)이상치 검정'!$F$5)</f>
        <v>0.30116097467677522</v>
      </c>
      <c r="H252" s="25" t="str">
        <f>IF(G252&gt;'(검증1)이상치 검정'!$G$5,"Alert","")</f>
        <v/>
      </c>
    </row>
    <row r="253" spans="1:8">
      <c r="A253" s="2" t="s">
        <v>106</v>
      </c>
      <c r="B253" s="2">
        <v>80</v>
      </c>
      <c r="C253" s="2" t="s">
        <v>99</v>
      </c>
      <c r="D253" s="3">
        <v>45.1</v>
      </c>
      <c r="E253" s="11">
        <v>44422.986932870372</v>
      </c>
      <c r="G253" s="6">
        <f>ABS((D253-'(검증1)이상치 검정'!$E$5)/'(검증1)이상치 검정'!$F$5)</f>
        <v>0.17035368264543396</v>
      </c>
      <c r="H253" s="25" t="str">
        <f>IF(G253&gt;'(검증1)이상치 검정'!$G$5,"Alert","")</f>
        <v/>
      </c>
    </row>
    <row r="254" spans="1:8">
      <c r="A254" s="2" t="s">
        <v>106</v>
      </c>
      <c r="B254" s="2">
        <v>81</v>
      </c>
      <c r="C254" s="2" t="s">
        <v>100</v>
      </c>
      <c r="D254" s="3">
        <v>45.7</v>
      </c>
      <c r="E254" s="11">
        <v>44422.987627314818</v>
      </c>
      <c r="G254" s="6">
        <f>ABS((D254-'(검증1)이상치 검정'!$E$5)/'(검증1)이상치 검정'!$F$5)</f>
        <v>0.61449006954260432</v>
      </c>
      <c r="H254" s="25" t="str">
        <f>IF(G254&gt;'(검증1)이상치 검정'!$G$5,"Alert","")</f>
        <v/>
      </c>
    </row>
    <row r="255" spans="1:8">
      <c r="A255" s="2" t="s">
        <v>106</v>
      </c>
      <c r="B255" s="2">
        <v>82</v>
      </c>
      <c r="C255" s="2" t="s">
        <v>101</v>
      </c>
      <c r="D255" s="3">
        <v>44.3</v>
      </c>
      <c r="E255" s="11">
        <v>44422.988321759258</v>
      </c>
      <c r="G255" s="6">
        <f>ABS((D255-'(검증1)이상치 검정'!$E$5)/'(검증1)이상치 검정'!$F$5)</f>
        <v>1.2168120188961549</v>
      </c>
      <c r="H255" s="25" t="str">
        <f>IF(G255&gt;'(검증1)이상치 검정'!$G$5,"Alert","")</f>
        <v/>
      </c>
    </row>
    <row r="256" spans="1:8">
      <c r="A256" s="2" t="s">
        <v>106</v>
      </c>
      <c r="B256" s="2">
        <v>83</v>
      </c>
      <c r="C256" s="2" t="s">
        <v>102</v>
      </c>
      <c r="D256" s="3">
        <v>46.4</v>
      </c>
      <c r="E256" s="11">
        <v>44422.989016203705</v>
      </c>
      <c r="G256" s="6">
        <f>ABS((D256-'(검증1)이상치 검정'!$E$5)/'(검증1)이상치 검정'!$F$5)</f>
        <v>1.5301411137619747</v>
      </c>
      <c r="H256" s="25" t="str">
        <f>IF(G256&gt;'(검증1)이상치 검정'!$G$5,"Alert","")</f>
        <v/>
      </c>
    </row>
    <row r="257" spans="1:8">
      <c r="A257" s="2" t="s">
        <v>106</v>
      </c>
      <c r="B257" s="2">
        <v>84</v>
      </c>
      <c r="C257" s="2" t="s">
        <v>103</v>
      </c>
      <c r="D257" s="3">
        <v>45</v>
      </c>
      <c r="E257" s="11">
        <v>44422.989710648151</v>
      </c>
      <c r="G257" s="6">
        <f>ABS((D257-'(검증1)이상치 검정'!$E$5)/'(검증1)이상치 검정'!$F$5)</f>
        <v>0.30116097467677522</v>
      </c>
      <c r="H257" s="25" t="str">
        <f>IF(G257&gt;'(검증1)이상치 검정'!$G$5,"Alert","")</f>
        <v/>
      </c>
    </row>
    <row r="258" spans="1:8">
      <c r="A258" s="2" t="s">
        <v>106</v>
      </c>
      <c r="B258" s="2">
        <v>85</v>
      </c>
      <c r="C258" s="2" t="s">
        <v>104</v>
      </c>
      <c r="D258" s="3">
        <v>45.1</v>
      </c>
      <c r="E258" s="11">
        <v>44422.990405092591</v>
      </c>
      <c r="G258" s="6">
        <f>ABS((D258-'(검증1)이상치 검정'!$E$5)/'(검증1)이상치 검정'!$F$5)</f>
        <v>0.17035368264543396</v>
      </c>
      <c r="H258" s="25" t="str">
        <f>IF(G258&gt;'(검증1)이상치 검정'!$G$5,"Alert","")</f>
        <v/>
      </c>
    </row>
    <row r="259" spans="1:8">
      <c r="A259" s="2" t="s">
        <v>106</v>
      </c>
      <c r="B259" s="2">
        <v>86</v>
      </c>
      <c r="C259" s="2" t="s">
        <v>105</v>
      </c>
      <c r="D259" s="3">
        <v>45.5</v>
      </c>
      <c r="E259" s="11">
        <v>44422.991099537037</v>
      </c>
      <c r="G259" s="6">
        <f>ABS((D259-'(검증1)이상치 검정'!$E$5)/'(검증1)이상치 검정'!$F$5)</f>
        <v>0.35287548547992181</v>
      </c>
      <c r="H259" s="25" t="str">
        <f>IF(G259&gt;'(검증1)이상치 검정'!$G$5,"Alert","")</f>
        <v/>
      </c>
    </row>
    <row r="260" spans="1:8" s="9" customFormat="1">
      <c r="A260" s="7" t="s">
        <v>15</v>
      </c>
      <c r="B260" s="7">
        <v>1</v>
      </c>
      <c r="C260" s="7" t="s">
        <v>45</v>
      </c>
      <c r="D260" s="8">
        <v>-6.9</v>
      </c>
      <c r="E260" s="12">
        <v>44422.932071759256</v>
      </c>
      <c r="G260" s="9">
        <f>ABS((D260-'(검증1)이상치 검정'!$E$6)/'(검증1)이상치 검정'!$F$6)</f>
        <v>1.1055733144407665</v>
      </c>
      <c r="H260" s="15" t="str">
        <f>IF(G260&gt;'(검증1)이상치 검정'!$G$6,"Alert","")</f>
        <v/>
      </c>
    </row>
    <row r="261" spans="1:8" s="9" customFormat="1">
      <c r="A261" s="7" t="s">
        <v>15</v>
      </c>
      <c r="B261" s="7">
        <v>2</v>
      </c>
      <c r="C261" s="7" t="s">
        <v>46</v>
      </c>
      <c r="D261" s="8">
        <v>-4.7</v>
      </c>
      <c r="E261" s="12">
        <v>44422.932766203703</v>
      </c>
      <c r="G261" s="9">
        <f>ABS((D261-'(검증1)이상치 검정'!$E$6)/'(검증1)이상치 검정'!$F$6)</f>
        <v>1.0201835056018442</v>
      </c>
      <c r="H261" s="15" t="str">
        <f>IF(G261&gt;'(검증1)이상치 검정'!$G$6,"Alert","")</f>
        <v/>
      </c>
    </row>
    <row r="262" spans="1:8" s="9" customFormat="1">
      <c r="A262" s="7" t="s">
        <v>15</v>
      </c>
      <c r="B262" s="7">
        <v>3</v>
      </c>
      <c r="C262" s="7" t="s">
        <v>47</v>
      </c>
      <c r="D262" s="8">
        <v>-5.6</v>
      </c>
      <c r="E262" s="12">
        <v>44422.93346064815</v>
      </c>
      <c r="G262" s="9">
        <f>ABS((D262-'(검증1)이상치 검정'!$E$6)/'(검증1)이상치 검정'!$F$6)</f>
        <v>0.15055571558441316</v>
      </c>
      <c r="H262" s="15" t="str">
        <f>IF(G262&gt;'(검증1)이상치 검정'!$G$6,"Alert","")</f>
        <v/>
      </c>
    </row>
    <row r="263" spans="1:8" s="9" customFormat="1">
      <c r="A263" s="7" t="s">
        <v>15</v>
      </c>
      <c r="B263" s="7">
        <v>4</v>
      </c>
      <c r="C263" s="7" t="s">
        <v>48</v>
      </c>
      <c r="D263" s="8">
        <v>-5.2</v>
      </c>
      <c r="E263" s="12">
        <v>44422.934155092589</v>
      </c>
      <c r="G263" s="9">
        <f>ABS((D263-'(검증1)이상치 검정'!$E$6)/'(검증1)이상치 검정'!$F$6)</f>
        <v>0.53705695559216005</v>
      </c>
      <c r="H263" s="15" t="str">
        <f>IF(G263&gt;'(검증1)이상치 검정'!$G$6,"Alert","")</f>
        <v/>
      </c>
    </row>
    <row r="264" spans="1:8" s="9" customFormat="1">
      <c r="A264" s="7" t="s">
        <v>15</v>
      </c>
      <c r="B264" s="7">
        <v>5</v>
      </c>
      <c r="C264" s="7" t="s">
        <v>49</v>
      </c>
      <c r="D264" s="8">
        <v>-4.2</v>
      </c>
      <c r="E264" s="12">
        <v>44422.934849537036</v>
      </c>
      <c r="G264" s="9">
        <f>ABS((D264-'(검증1)이상치 검정'!$E$6)/'(검증1)이상치 검정'!$F$6)</f>
        <v>1.5033100556115284</v>
      </c>
      <c r="H264" s="15" t="str">
        <f>IF(G264&gt;'(검증1)이상치 검정'!$G$6,"Alert","")</f>
        <v/>
      </c>
    </row>
    <row r="265" spans="1:8" s="9" customFormat="1">
      <c r="A265" s="7" t="s">
        <v>15</v>
      </c>
      <c r="B265" s="7">
        <v>6</v>
      </c>
      <c r="C265" s="7" t="s">
        <v>50</v>
      </c>
      <c r="D265" s="8">
        <v>-4.2</v>
      </c>
      <c r="E265" s="12">
        <v>44422.935543981483</v>
      </c>
      <c r="G265" s="9">
        <f>ABS((D265-'(검증1)이상치 검정'!$E$6)/'(검증1)이상치 검정'!$F$6)</f>
        <v>1.5033100556115284</v>
      </c>
      <c r="H265" s="15" t="str">
        <f>IF(G265&gt;'(검증1)이상치 검정'!$G$6,"Alert","")</f>
        <v/>
      </c>
    </row>
    <row r="266" spans="1:8" s="9" customFormat="1">
      <c r="A266" s="7" t="s">
        <v>15</v>
      </c>
      <c r="B266" s="7">
        <v>7</v>
      </c>
      <c r="C266" s="7" t="s">
        <v>51</v>
      </c>
      <c r="D266" s="8">
        <v>-4.9000000000000004</v>
      </c>
      <c r="E266" s="12">
        <v>44422.936238425929</v>
      </c>
      <c r="G266" s="9">
        <f>ABS((D266-'(검증1)이상치 검정'!$E$6)/'(검증1)이상치 검정'!$F$6)</f>
        <v>0.8269328855979704</v>
      </c>
      <c r="H266" s="15" t="str">
        <f>IF(G266&gt;'(검증1)이상치 검정'!$G$6,"Alert","")</f>
        <v/>
      </c>
    </row>
    <row r="267" spans="1:8" s="9" customFormat="1">
      <c r="A267" s="7" t="s">
        <v>15</v>
      </c>
      <c r="B267" s="7">
        <v>8</v>
      </c>
      <c r="C267" s="7" t="s">
        <v>52</v>
      </c>
      <c r="D267" s="8">
        <v>-4.5999999999999996</v>
      </c>
      <c r="E267" s="12">
        <v>44422.936932870369</v>
      </c>
      <c r="G267" s="9">
        <f>ABS((D267-'(검증1)이상치 검정'!$E$6)/'(검증1)이상치 검정'!$F$6)</f>
        <v>1.1168088156037816</v>
      </c>
      <c r="H267" s="15" t="str">
        <f>IF(G267&gt;'(검증1)이상치 검정'!$G$6,"Alert","")</f>
        <v/>
      </c>
    </row>
    <row r="268" spans="1:8" s="9" customFormat="1">
      <c r="A268" s="7" t="s">
        <v>15</v>
      </c>
      <c r="B268" s="7">
        <v>9</v>
      </c>
      <c r="C268" s="7" t="s">
        <v>53</v>
      </c>
      <c r="D268" s="8">
        <v>-5.7</v>
      </c>
      <c r="E268" s="12">
        <v>44422.937627314815</v>
      </c>
      <c r="G268" s="9">
        <f>ABS((D268-'(검증1)이상치 검정'!$E$6)/'(검증1)이상치 검정'!$F$6)</f>
        <v>5.3930405582475791E-2</v>
      </c>
      <c r="H268" s="15" t="str">
        <f>IF(G268&gt;'(검증1)이상치 검정'!$G$6,"Alert","")</f>
        <v/>
      </c>
    </row>
    <row r="269" spans="1:8" s="9" customFormat="1">
      <c r="A269" s="7" t="s">
        <v>15</v>
      </c>
      <c r="B269" s="7">
        <v>10</v>
      </c>
      <c r="C269" s="7" t="s">
        <v>54</v>
      </c>
      <c r="D269" s="8">
        <v>-4.9000000000000004</v>
      </c>
      <c r="E269" s="12">
        <v>44422.938321759262</v>
      </c>
      <c r="G269" s="9">
        <f>ABS((D269-'(검증1)이상치 검정'!$E$6)/'(검증1)이상치 검정'!$F$6)</f>
        <v>0.8269328855979704</v>
      </c>
      <c r="H269" s="15" t="str">
        <f>IF(G269&gt;'(검증1)이상치 검정'!$G$6,"Alert","")</f>
        <v/>
      </c>
    </row>
    <row r="270" spans="1:8" s="9" customFormat="1">
      <c r="A270" s="7" t="s">
        <v>15</v>
      </c>
      <c r="B270" s="7">
        <v>11</v>
      </c>
      <c r="C270" s="7" t="s">
        <v>55</v>
      </c>
      <c r="D270" s="8">
        <v>-6.9</v>
      </c>
      <c r="E270" s="12">
        <v>44422.939016203702</v>
      </c>
      <c r="G270" s="9">
        <f>ABS((D270-'(검증1)이상치 검정'!$E$6)/'(검증1)이상치 검정'!$F$6)</f>
        <v>1.1055733144407665</v>
      </c>
      <c r="H270" s="15" t="str">
        <f>IF(G270&gt;'(검증1)이상치 검정'!$G$6,"Alert","")</f>
        <v/>
      </c>
    </row>
    <row r="271" spans="1:8" s="9" customFormat="1">
      <c r="A271" s="7" t="s">
        <v>15</v>
      </c>
      <c r="B271" s="7">
        <v>12</v>
      </c>
      <c r="C271" s="7" t="s">
        <v>56</v>
      </c>
      <c r="D271" s="8">
        <v>-5.3</v>
      </c>
      <c r="E271" s="12">
        <v>44422.939710648148</v>
      </c>
      <c r="G271" s="9">
        <f>ABS((D271-'(검증1)이상치 검정'!$E$6)/'(검증1)이상치 검정'!$F$6)</f>
        <v>0.44043164559022352</v>
      </c>
      <c r="H271" s="15" t="str">
        <f>IF(G271&gt;'(검증1)이상치 검정'!$G$6,"Alert","")</f>
        <v/>
      </c>
    </row>
    <row r="272" spans="1:8" s="9" customFormat="1">
      <c r="A272" s="7" t="s">
        <v>15</v>
      </c>
      <c r="B272" s="7">
        <v>13</v>
      </c>
      <c r="C272" s="7" t="s">
        <v>57</v>
      </c>
      <c r="D272" s="8">
        <v>-7.3</v>
      </c>
      <c r="E272" s="12">
        <v>44422.940405092595</v>
      </c>
      <c r="G272" s="9">
        <f>ABS((D272-'(검증1)이상치 검정'!$E$6)/'(검증1)이상치 검정'!$F$6)</f>
        <v>1.4920745544485134</v>
      </c>
      <c r="H272" s="15" t="str">
        <f>IF(G272&gt;'(검증1)이상치 검정'!$G$6,"Alert","")</f>
        <v/>
      </c>
    </row>
    <row r="273" spans="1:8" s="9" customFormat="1">
      <c r="A273" s="7" t="s">
        <v>15</v>
      </c>
      <c r="B273" s="7">
        <v>14</v>
      </c>
      <c r="C273" s="7" t="s">
        <v>58</v>
      </c>
      <c r="D273" s="8">
        <v>-7</v>
      </c>
      <c r="E273" s="12">
        <v>44422.941099537034</v>
      </c>
      <c r="G273" s="9">
        <f>ABS((D273-'(검증1)이상치 검정'!$E$6)/'(검증1)이상치 검정'!$F$6)</f>
        <v>1.202198624442703</v>
      </c>
      <c r="H273" s="15" t="str">
        <f>IF(G273&gt;'(검증1)이상치 검정'!$G$6,"Alert","")</f>
        <v/>
      </c>
    </row>
    <row r="274" spans="1:8" s="9" customFormat="1">
      <c r="A274" s="7" t="s">
        <v>15</v>
      </c>
      <c r="B274" s="7">
        <v>15</v>
      </c>
      <c r="C274" s="7" t="s">
        <v>59</v>
      </c>
      <c r="D274" s="8">
        <v>-6.3</v>
      </c>
      <c r="E274" s="12">
        <v>44422.941793981481</v>
      </c>
      <c r="G274" s="9">
        <f>ABS((D274-'(검증1)이상치 검정'!$E$6)/'(검증1)이상치 검정'!$F$6)</f>
        <v>0.52582145442914496</v>
      </c>
      <c r="H274" s="15" t="str">
        <f>IF(G274&gt;'(검증1)이상치 검정'!$G$6,"Alert","")</f>
        <v/>
      </c>
    </row>
    <row r="275" spans="1:8" s="9" customFormat="1">
      <c r="A275" s="7" t="s">
        <v>15</v>
      </c>
      <c r="B275" s="7">
        <v>16</v>
      </c>
      <c r="C275" s="7" t="s">
        <v>60</v>
      </c>
      <c r="D275" s="8">
        <v>-8.1</v>
      </c>
      <c r="E275" s="12">
        <v>44422.942488425928</v>
      </c>
      <c r="G275" s="9">
        <f>ABS((D275-'(검증1)이상치 검정'!$E$6)/'(검증1)이상치 검정'!$F$6)</f>
        <v>2.2650770344640079</v>
      </c>
      <c r="H275" s="15" t="str">
        <f>IF(G275&gt;'(검증1)이상치 검정'!$G$6,"Alert","")</f>
        <v>Alert</v>
      </c>
    </row>
    <row r="276" spans="1:8" s="9" customFormat="1">
      <c r="A276" s="7" t="s">
        <v>15</v>
      </c>
      <c r="B276" s="7">
        <v>17</v>
      </c>
      <c r="C276" s="7" t="s">
        <v>61</v>
      </c>
      <c r="D276" s="8">
        <v>-5.3</v>
      </c>
      <c r="E276" s="12">
        <v>44422.943182870367</v>
      </c>
      <c r="G276" s="9">
        <f>ABS((D276-'(검증1)이상치 검정'!$E$6)/'(검증1)이상치 검정'!$F$6)</f>
        <v>0.44043164559022352</v>
      </c>
      <c r="H276" s="15" t="str">
        <f>IF(G276&gt;'(검증1)이상치 검정'!$G$6,"Alert","")</f>
        <v/>
      </c>
    </row>
    <row r="277" spans="1:8" s="9" customFormat="1">
      <c r="A277" s="7" t="s">
        <v>15</v>
      </c>
      <c r="B277" s="7">
        <v>18</v>
      </c>
      <c r="C277" s="7" t="s">
        <v>62</v>
      </c>
      <c r="D277" s="8">
        <v>-7.2</v>
      </c>
      <c r="E277" s="12">
        <v>44422.943877314814</v>
      </c>
      <c r="G277" s="9">
        <f>ABS((D277-'(검증1)이상치 검정'!$E$6)/'(검증1)이상치 검정'!$F$6)</f>
        <v>1.3954492444465769</v>
      </c>
      <c r="H277" s="15" t="str">
        <f>IF(G277&gt;'(검증1)이상치 검정'!$G$6,"Alert","")</f>
        <v/>
      </c>
    </row>
    <row r="278" spans="1:8" s="9" customFormat="1">
      <c r="A278" s="7" t="s">
        <v>15</v>
      </c>
      <c r="B278" s="7">
        <v>19</v>
      </c>
      <c r="C278" s="7" t="s">
        <v>63</v>
      </c>
      <c r="D278" s="8">
        <v>-5.8</v>
      </c>
      <c r="E278" s="12">
        <v>44422.944571759261</v>
      </c>
      <c r="G278" s="9">
        <f>ABS((D278-'(검증1)이상치 검정'!$E$6)/'(검증1)이상치 검정'!$F$6)</f>
        <v>4.2694904419460715E-2</v>
      </c>
      <c r="H278" s="15" t="str">
        <f>IF(G278&gt;'(검증1)이상치 검정'!$G$6,"Alert","")</f>
        <v/>
      </c>
    </row>
    <row r="279" spans="1:8" s="9" customFormat="1">
      <c r="A279" s="7" t="s">
        <v>15</v>
      </c>
      <c r="B279" s="7">
        <v>20</v>
      </c>
      <c r="C279" s="7" t="s">
        <v>64</v>
      </c>
      <c r="D279" s="8">
        <v>-5</v>
      </c>
      <c r="E279" s="12">
        <v>44422.9452662037</v>
      </c>
      <c r="G279" s="9">
        <f>ABS((D279-'(검증1)이상치 검정'!$E$6)/'(검증1)이상치 검정'!$F$6)</f>
        <v>0.73030757559603388</v>
      </c>
      <c r="H279" s="15" t="str">
        <f>IF(G279&gt;'(검증1)이상치 검정'!$G$6,"Alert","")</f>
        <v/>
      </c>
    </row>
    <row r="280" spans="1:8" s="9" customFormat="1">
      <c r="A280" s="7" t="s">
        <v>15</v>
      </c>
      <c r="B280" s="7">
        <v>21</v>
      </c>
      <c r="C280" s="7" t="s">
        <v>65</v>
      </c>
      <c r="D280" s="8">
        <v>-6.5</v>
      </c>
      <c r="E280" s="12">
        <v>44422.945960648147</v>
      </c>
      <c r="G280" s="9">
        <f>ABS((D280-'(검증1)이상치 검정'!$E$6)/'(검증1)이상치 검정'!$F$6)</f>
        <v>0.71907207443301879</v>
      </c>
      <c r="H280" s="15" t="str">
        <f>IF(G280&gt;'(검증1)이상치 검정'!$G$6,"Alert","")</f>
        <v/>
      </c>
    </row>
    <row r="281" spans="1:8" s="9" customFormat="1">
      <c r="A281" s="7" t="s">
        <v>15</v>
      </c>
      <c r="B281" s="7">
        <v>22</v>
      </c>
      <c r="C281" s="7" t="s">
        <v>66</v>
      </c>
      <c r="D281" s="8">
        <v>-4</v>
      </c>
      <c r="E281" s="12">
        <v>44422.946655092594</v>
      </c>
      <c r="G281" s="9">
        <f>ABS((D281-'(검증1)이상치 검정'!$E$6)/'(검증1)이상치 검정'!$F$6)</f>
        <v>1.6965606756154024</v>
      </c>
      <c r="H281" s="15" t="str">
        <f>IF(G281&gt;'(검증1)이상치 검정'!$G$6,"Alert","")</f>
        <v>Alert</v>
      </c>
    </row>
    <row r="282" spans="1:8" s="9" customFormat="1">
      <c r="A282" s="7" t="s">
        <v>15</v>
      </c>
      <c r="B282" s="7">
        <v>23</v>
      </c>
      <c r="C282" s="7" t="s">
        <v>67</v>
      </c>
      <c r="D282" s="8">
        <v>-5</v>
      </c>
      <c r="E282" s="12">
        <v>44422.94734953704</v>
      </c>
      <c r="G282" s="9">
        <f>ABS((D282-'(검증1)이상치 검정'!$E$6)/'(검증1)이상치 검정'!$F$6)</f>
        <v>0.73030757559603388</v>
      </c>
      <c r="H282" s="15" t="str">
        <f>IF(G282&gt;'(검증1)이상치 검정'!$G$6,"Alert","")</f>
        <v/>
      </c>
    </row>
    <row r="283" spans="1:8" s="9" customFormat="1">
      <c r="A283" s="7" t="s">
        <v>15</v>
      </c>
      <c r="B283" s="7">
        <v>24</v>
      </c>
      <c r="C283" s="7" t="s">
        <v>68</v>
      </c>
      <c r="D283" s="8">
        <v>-4.5999999999999996</v>
      </c>
      <c r="E283" s="12">
        <v>44422.94804398148</v>
      </c>
      <c r="G283" s="9">
        <f>ABS((D283-'(검증1)이상치 검정'!$E$6)/'(검증1)이상치 검정'!$F$6)</f>
        <v>1.1168088156037816</v>
      </c>
      <c r="H283" s="15" t="str">
        <f>IF(G283&gt;'(검증1)이상치 검정'!$G$6,"Alert","")</f>
        <v/>
      </c>
    </row>
    <row r="284" spans="1:8" s="9" customFormat="1">
      <c r="A284" s="7" t="s">
        <v>15</v>
      </c>
      <c r="B284" s="7">
        <v>25</v>
      </c>
      <c r="C284" s="7" t="s">
        <v>69</v>
      </c>
      <c r="D284" s="8">
        <v>-5.4</v>
      </c>
      <c r="E284" s="12">
        <v>44422.948738425926</v>
      </c>
      <c r="G284" s="9">
        <f>ABS((D284-'(검증1)이상치 검정'!$E$6)/'(검증1)이상치 검정'!$F$6)</f>
        <v>0.34380633558828616</v>
      </c>
      <c r="H284" s="15" t="str">
        <f>IF(G284&gt;'(검증1)이상치 검정'!$G$6,"Alert","")</f>
        <v/>
      </c>
    </row>
    <row r="285" spans="1:8" s="9" customFormat="1">
      <c r="A285" s="7" t="s">
        <v>15</v>
      </c>
      <c r="B285" s="7">
        <v>26</v>
      </c>
      <c r="C285" s="7" t="s">
        <v>70</v>
      </c>
      <c r="D285" s="8">
        <v>-4.5</v>
      </c>
      <c r="E285" s="12">
        <v>44422.949432870373</v>
      </c>
      <c r="G285" s="9">
        <f>ABS((D285-'(검증1)이상치 검정'!$E$6)/'(검증1)이상치 검정'!$F$6)</f>
        <v>1.2134341256057182</v>
      </c>
      <c r="H285" s="15" t="str">
        <f>IF(G285&gt;'(검증1)이상치 검정'!$G$6,"Alert","")</f>
        <v/>
      </c>
    </row>
    <row r="286" spans="1:8" s="9" customFormat="1">
      <c r="A286" s="7" t="s">
        <v>15</v>
      </c>
      <c r="B286" s="7">
        <v>27</v>
      </c>
      <c r="C286" s="7" t="s">
        <v>71</v>
      </c>
      <c r="D286" s="8">
        <v>-5.4</v>
      </c>
      <c r="E286" s="12">
        <v>44422.950127314813</v>
      </c>
      <c r="G286" s="9">
        <f>ABS((D286-'(검증1)이상치 검정'!$E$6)/'(검증1)이상치 검정'!$F$6)</f>
        <v>0.34380633558828616</v>
      </c>
      <c r="H286" s="15" t="str">
        <f>IF(G286&gt;'(검증1)이상치 검정'!$G$6,"Alert","")</f>
        <v/>
      </c>
    </row>
    <row r="287" spans="1:8" s="9" customFormat="1">
      <c r="A287" s="7" t="s">
        <v>15</v>
      </c>
      <c r="B287" s="7">
        <v>28</v>
      </c>
      <c r="C287" s="7" t="s">
        <v>72</v>
      </c>
      <c r="D287" s="8">
        <v>-5</v>
      </c>
      <c r="E287" s="12">
        <v>44422.950821759259</v>
      </c>
      <c r="G287" s="9">
        <f>ABS((D287-'(검증1)이상치 검정'!$E$6)/'(검증1)이상치 검정'!$F$6)</f>
        <v>0.73030757559603388</v>
      </c>
      <c r="H287" s="15" t="str">
        <f>IF(G287&gt;'(검증1)이상치 검정'!$G$6,"Alert","")</f>
        <v/>
      </c>
    </row>
    <row r="288" spans="1:8" s="9" customFormat="1">
      <c r="A288" s="7" t="s">
        <v>15</v>
      </c>
      <c r="B288" s="7">
        <v>29</v>
      </c>
      <c r="C288" s="7" t="s">
        <v>73</v>
      </c>
      <c r="D288" s="8">
        <v>-5.5</v>
      </c>
      <c r="E288" s="12">
        <v>44422.951516203706</v>
      </c>
      <c r="G288" s="9">
        <f>ABS((D288-'(검증1)이상치 검정'!$E$6)/'(검증1)이상치 검정'!$F$6)</f>
        <v>0.24718102558634966</v>
      </c>
      <c r="H288" s="15" t="str">
        <f>IF(G288&gt;'(검증1)이상치 검정'!$G$6,"Alert","")</f>
        <v/>
      </c>
    </row>
    <row r="289" spans="1:8" s="9" customFormat="1">
      <c r="A289" s="7" t="s">
        <v>15</v>
      </c>
      <c r="B289" s="7">
        <v>30</v>
      </c>
      <c r="C289" s="7" t="s">
        <v>74</v>
      </c>
      <c r="D289" s="8">
        <v>-7.7</v>
      </c>
      <c r="E289" s="12">
        <v>44422.952210648145</v>
      </c>
      <c r="G289" s="9">
        <f>ABS((D289-'(검증1)이상치 검정'!$E$6)/'(검증1)이상치 검정'!$F$6)</f>
        <v>1.8785757944562611</v>
      </c>
      <c r="H289" s="15" t="str">
        <f>IF(G289&gt;'(검증1)이상치 검정'!$G$6,"Alert","")</f>
        <v>Alert</v>
      </c>
    </row>
    <row r="290" spans="1:8" s="9" customFormat="1">
      <c r="A290" s="7" t="s">
        <v>15</v>
      </c>
      <c r="B290" s="7">
        <v>31</v>
      </c>
      <c r="C290" s="7" t="s">
        <v>75</v>
      </c>
      <c r="D290" s="8">
        <v>-5.7</v>
      </c>
      <c r="E290" s="12">
        <v>44422.952905092592</v>
      </c>
      <c r="G290" s="9">
        <f>ABS((D290-'(검증1)이상치 검정'!$E$6)/'(검증1)이상치 검정'!$F$6)</f>
        <v>5.3930405582475791E-2</v>
      </c>
      <c r="H290" s="15" t="str">
        <f>IF(G290&gt;'(검증1)이상치 검정'!$G$6,"Alert","")</f>
        <v/>
      </c>
    </row>
    <row r="291" spans="1:8" s="9" customFormat="1">
      <c r="A291" s="7" t="s">
        <v>15</v>
      </c>
      <c r="B291" s="7">
        <v>32</v>
      </c>
      <c r="C291" s="7" t="s">
        <v>76</v>
      </c>
      <c r="D291" s="8">
        <v>-6.4</v>
      </c>
      <c r="E291" s="12">
        <v>44422.953599537039</v>
      </c>
      <c r="G291" s="9">
        <f>ABS((D291-'(검증1)이상치 검정'!$E$6)/'(검증1)이상치 검정'!$F$6)</f>
        <v>0.62244676443108227</v>
      </c>
      <c r="H291" s="15" t="str">
        <f>IF(G291&gt;'(검증1)이상치 검정'!$G$6,"Alert","")</f>
        <v/>
      </c>
    </row>
    <row r="292" spans="1:8" s="9" customFormat="1">
      <c r="A292" s="7" t="s">
        <v>15</v>
      </c>
      <c r="B292" s="7">
        <v>33</v>
      </c>
      <c r="C292" s="7" t="s">
        <v>77</v>
      </c>
      <c r="D292" s="8">
        <v>-7.1</v>
      </c>
      <c r="E292" s="12">
        <v>44422.954293981478</v>
      </c>
      <c r="G292" s="9">
        <f>ABS((D292-'(검증1)이상치 검정'!$E$6)/'(검증1)이상치 검정'!$F$6)</f>
        <v>1.2988239344446395</v>
      </c>
      <c r="H292" s="15" t="str">
        <f>IF(G292&gt;'(검증1)이상치 검정'!$G$6,"Alert","")</f>
        <v/>
      </c>
    </row>
    <row r="293" spans="1:8" s="9" customFormat="1">
      <c r="A293" s="7" t="s">
        <v>15</v>
      </c>
      <c r="B293" s="7">
        <v>34</v>
      </c>
      <c r="C293" s="7" t="s">
        <v>78</v>
      </c>
      <c r="D293" s="8">
        <v>-5.8</v>
      </c>
      <c r="E293" s="12">
        <v>44422.954988425925</v>
      </c>
      <c r="G293" s="9">
        <f>ABS((D293-'(검증1)이상치 검정'!$E$6)/'(검증1)이상치 검정'!$F$6)</f>
        <v>4.2694904419460715E-2</v>
      </c>
      <c r="H293" s="15" t="str">
        <f>IF(G293&gt;'(검증1)이상치 검정'!$G$6,"Alert","")</f>
        <v/>
      </c>
    </row>
    <row r="294" spans="1:8" s="9" customFormat="1">
      <c r="A294" s="7" t="s">
        <v>15</v>
      </c>
      <c r="B294" s="7">
        <v>35</v>
      </c>
      <c r="C294" s="7" t="s">
        <v>79</v>
      </c>
      <c r="D294" s="8">
        <v>-6.9</v>
      </c>
      <c r="E294" s="12">
        <v>44422.955682870372</v>
      </c>
      <c r="G294" s="9">
        <f>ABS((D294-'(검증1)이상치 검정'!$E$6)/'(검증1)이상치 검정'!$F$6)</f>
        <v>1.1055733144407665</v>
      </c>
      <c r="H294" s="15" t="str">
        <f>IF(G294&gt;'(검증1)이상치 검정'!$G$6,"Alert","")</f>
        <v/>
      </c>
    </row>
    <row r="295" spans="1:8" s="9" customFormat="1">
      <c r="A295" s="7" t="s">
        <v>15</v>
      </c>
      <c r="B295" s="7">
        <v>36</v>
      </c>
      <c r="C295" s="7" t="s">
        <v>80</v>
      </c>
      <c r="D295" s="8">
        <v>-6.3</v>
      </c>
      <c r="E295" s="12">
        <v>44422.956377314818</v>
      </c>
      <c r="G295" s="9">
        <f>ABS((D295-'(검증1)이상치 검정'!$E$6)/'(검증1)이상치 검정'!$F$6)</f>
        <v>0.52582145442914496</v>
      </c>
      <c r="H295" s="15" t="str">
        <f>IF(G295&gt;'(검증1)이상치 검정'!$G$6,"Alert","")</f>
        <v/>
      </c>
    </row>
    <row r="296" spans="1:8" s="9" customFormat="1">
      <c r="A296" s="7" t="s">
        <v>15</v>
      </c>
      <c r="B296" s="7">
        <v>37</v>
      </c>
      <c r="C296" s="7" t="s">
        <v>81</v>
      </c>
      <c r="D296" s="8">
        <v>-6</v>
      </c>
      <c r="E296" s="12">
        <v>44422.957071759258</v>
      </c>
      <c r="G296" s="9">
        <f>ABS((D296-'(검증1)이상치 검정'!$E$6)/'(검증1)이상치 검정'!$F$6)</f>
        <v>0.23594552442333458</v>
      </c>
      <c r="H296" s="15" t="str">
        <f>IF(G296&gt;'(검증1)이상치 검정'!$G$6,"Alert","")</f>
        <v/>
      </c>
    </row>
    <row r="297" spans="1:8" s="9" customFormat="1">
      <c r="A297" s="7" t="s">
        <v>15</v>
      </c>
      <c r="B297" s="7">
        <v>38</v>
      </c>
      <c r="C297" s="7" t="s">
        <v>82</v>
      </c>
      <c r="D297" s="8">
        <v>-6.8</v>
      </c>
      <c r="E297" s="12">
        <v>44422.957766203705</v>
      </c>
      <c r="G297" s="9">
        <f>ABS((D297-'(검증1)이상치 검정'!$E$6)/'(검증1)이상치 검정'!$F$6)</f>
        <v>1.0089480044388293</v>
      </c>
      <c r="H297" s="15" t="str">
        <f>IF(G297&gt;'(검증1)이상치 검정'!$G$6,"Alert","")</f>
        <v/>
      </c>
    </row>
    <row r="298" spans="1:8" s="9" customFormat="1">
      <c r="A298" s="7" t="s">
        <v>15</v>
      </c>
      <c r="B298" s="7">
        <v>39</v>
      </c>
      <c r="C298" s="7" t="s">
        <v>83</v>
      </c>
      <c r="D298" s="8">
        <v>-5</v>
      </c>
      <c r="E298" s="12">
        <v>44422.958460648151</v>
      </c>
      <c r="G298" s="9">
        <f>ABS((D298-'(검증1)이상치 검정'!$E$6)/'(검증1)이상치 검정'!$F$6)</f>
        <v>0.73030757559603388</v>
      </c>
      <c r="H298" s="15" t="str">
        <f>IF(G298&gt;'(검증1)이상치 검정'!$G$6,"Alert","")</f>
        <v/>
      </c>
    </row>
    <row r="299" spans="1:8" s="9" customFormat="1">
      <c r="A299" s="7" t="s">
        <v>15</v>
      </c>
      <c r="B299" s="7">
        <v>40</v>
      </c>
      <c r="C299" s="7" t="s">
        <v>84</v>
      </c>
      <c r="D299" s="8">
        <v>-5.6</v>
      </c>
      <c r="E299" s="12">
        <v>44422.959155092591</v>
      </c>
      <c r="G299" s="9">
        <f>ABS((D299-'(검증1)이상치 검정'!$E$6)/'(검증1)이상치 검정'!$F$6)</f>
        <v>0.15055571558441316</v>
      </c>
      <c r="H299" s="15" t="str">
        <f>IF(G299&gt;'(검증1)이상치 검정'!$G$6,"Alert","")</f>
        <v/>
      </c>
    </row>
    <row r="300" spans="1:8" s="9" customFormat="1">
      <c r="A300" s="7" t="s">
        <v>15</v>
      </c>
      <c r="B300" s="7">
        <v>41</v>
      </c>
      <c r="C300" s="7" t="s">
        <v>85</v>
      </c>
      <c r="D300" s="8">
        <v>-5.5</v>
      </c>
      <c r="E300" s="12">
        <v>44422.959849537037</v>
      </c>
      <c r="G300" s="9">
        <f>ABS((D300-'(검증1)이상치 검정'!$E$6)/'(검증1)이상치 검정'!$F$6)</f>
        <v>0.24718102558634966</v>
      </c>
      <c r="H300" s="15" t="str">
        <f>IF(G300&gt;'(검증1)이상치 검정'!$G$6,"Alert","")</f>
        <v/>
      </c>
    </row>
    <row r="301" spans="1:8" s="9" customFormat="1">
      <c r="A301" s="7" t="s">
        <v>15</v>
      </c>
      <c r="B301" s="7">
        <v>42</v>
      </c>
      <c r="C301" s="7" t="s">
        <v>86</v>
      </c>
      <c r="D301" s="8">
        <v>-4.2</v>
      </c>
      <c r="E301" s="12">
        <v>44422.960543981484</v>
      </c>
      <c r="G301" s="9">
        <f>ABS((D301-'(검증1)이상치 검정'!$E$6)/'(검증1)이상치 검정'!$F$6)</f>
        <v>1.5033100556115284</v>
      </c>
      <c r="H301" s="15" t="str">
        <f>IF(G301&gt;'(검증1)이상치 검정'!$G$6,"Alert","")</f>
        <v/>
      </c>
    </row>
    <row r="302" spans="1:8" s="9" customFormat="1">
      <c r="A302" s="7" t="s">
        <v>15</v>
      </c>
      <c r="B302" s="7">
        <v>43</v>
      </c>
      <c r="C302" s="7" t="s">
        <v>87</v>
      </c>
      <c r="D302" s="8">
        <v>-5.4</v>
      </c>
      <c r="E302" s="12">
        <v>44422.961238425924</v>
      </c>
      <c r="G302" s="9">
        <f>ABS((D302-'(검증1)이상치 검정'!$E$6)/'(검증1)이상치 검정'!$F$6)</f>
        <v>0.34380633558828616</v>
      </c>
      <c r="H302" s="15" t="str">
        <f>IF(G302&gt;'(검증1)이상치 검정'!$G$6,"Alert","")</f>
        <v/>
      </c>
    </row>
    <row r="303" spans="1:8" s="9" customFormat="1">
      <c r="A303" s="7" t="s">
        <v>15</v>
      </c>
      <c r="B303" s="7">
        <v>44</v>
      </c>
      <c r="C303" s="7" t="s">
        <v>88</v>
      </c>
      <c r="D303" s="8">
        <v>-3.6</v>
      </c>
      <c r="E303" s="12">
        <v>44422.96193287037</v>
      </c>
      <c r="G303" s="9">
        <f>ABS((D303-'(검증1)이상치 검정'!$E$6)/'(검증1)이상치 검정'!$F$6)</f>
        <v>2.0830619156231496</v>
      </c>
      <c r="H303" s="15" t="str">
        <f>IF(G303&gt;'(검증1)이상치 검정'!$G$6,"Alert","")</f>
        <v>Alert</v>
      </c>
    </row>
    <row r="304" spans="1:8" s="9" customFormat="1">
      <c r="A304" s="7" t="s">
        <v>15</v>
      </c>
      <c r="B304" s="7">
        <v>45</v>
      </c>
      <c r="C304" s="7" t="s">
        <v>89</v>
      </c>
      <c r="D304" s="8">
        <v>-5.4</v>
      </c>
      <c r="E304" s="12">
        <v>44422.962627314817</v>
      </c>
      <c r="G304" s="9">
        <f>ABS((D304-'(검증1)이상치 검정'!$E$6)/'(검증1)이상치 검정'!$F$6)</f>
        <v>0.34380633558828616</v>
      </c>
      <c r="H304" s="15" t="str">
        <f>IF(G304&gt;'(검증1)이상치 검정'!$G$6,"Alert","")</f>
        <v/>
      </c>
    </row>
    <row r="305" spans="1:8" s="9" customFormat="1">
      <c r="A305" s="7" t="s">
        <v>15</v>
      </c>
      <c r="B305" s="7">
        <v>46</v>
      </c>
      <c r="C305" s="7" t="s">
        <v>90</v>
      </c>
      <c r="D305" s="8">
        <v>-5.6</v>
      </c>
      <c r="E305" s="12">
        <v>44422.963321759256</v>
      </c>
      <c r="G305" s="9">
        <f>ABS((D305-'(검증1)이상치 검정'!$E$6)/'(검증1)이상치 검정'!$F$6)</f>
        <v>0.15055571558441316</v>
      </c>
      <c r="H305" s="15" t="str">
        <f>IF(G305&gt;'(검증1)이상치 검정'!$G$6,"Alert","")</f>
        <v/>
      </c>
    </row>
    <row r="306" spans="1:8" s="9" customFormat="1">
      <c r="A306" s="7" t="s">
        <v>15</v>
      </c>
      <c r="B306" s="7">
        <v>47</v>
      </c>
      <c r="C306" s="7" t="s">
        <v>91</v>
      </c>
      <c r="D306" s="8">
        <v>-5.0999999999999996</v>
      </c>
      <c r="E306" s="12">
        <v>44422.964016203703</v>
      </c>
      <c r="G306" s="9">
        <f>ABS((D306-'(검증1)이상치 검정'!$E$6)/'(검증1)이상치 검정'!$F$6)</f>
        <v>0.63368226559409735</v>
      </c>
      <c r="H306" s="15" t="str">
        <f>IF(G306&gt;'(검증1)이상치 검정'!$G$6,"Alert","")</f>
        <v/>
      </c>
    </row>
    <row r="307" spans="1:8" s="9" customFormat="1">
      <c r="A307" s="7" t="s">
        <v>15</v>
      </c>
      <c r="B307" s="7">
        <v>48</v>
      </c>
      <c r="C307" s="7" t="s">
        <v>92</v>
      </c>
      <c r="D307" s="8">
        <v>-6.8</v>
      </c>
      <c r="E307" s="12">
        <v>44422.96471064815</v>
      </c>
      <c r="G307" s="9">
        <f>ABS((D307-'(검증1)이상치 검정'!$E$6)/'(검증1)이상치 검정'!$F$6)</f>
        <v>1.0089480044388293</v>
      </c>
      <c r="H307" s="15" t="str">
        <f>IF(G307&gt;'(검증1)이상치 검정'!$G$6,"Alert","")</f>
        <v/>
      </c>
    </row>
    <row r="308" spans="1:8" s="9" customFormat="1">
      <c r="A308" s="7" t="s">
        <v>15</v>
      </c>
      <c r="B308" s="7">
        <v>49</v>
      </c>
      <c r="C308" s="7" t="s">
        <v>93</v>
      </c>
      <c r="D308" s="8">
        <v>-5.4</v>
      </c>
      <c r="E308" s="12">
        <v>44422.965405092589</v>
      </c>
      <c r="G308" s="9">
        <f>ABS((D308-'(검증1)이상치 검정'!$E$6)/'(검증1)이상치 검정'!$F$6)</f>
        <v>0.34380633558828616</v>
      </c>
      <c r="H308" s="15" t="str">
        <f>IF(G308&gt;'(검증1)이상치 검정'!$G$6,"Alert","")</f>
        <v/>
      </c>
    </row>
    <row r="309" spans="1:8" s="9" customFormat="1">
      <c r="A309" s="7" t="s">
        <v>15</v>
      </c>
      <c r="B309" s="7">
        <v>50</v>
      </c>
      <c r="C309" s="7" t="s">
        <v>94</v>
      </c>
      <c r="D309" s="8">
        <v>-8.4</v>
      </c>
      <c r="E309" s="12">
        <v>44422.966099537036</v>
      </c>
      <c r="G309" s="9">
        <f>ABS((D309-'(검증1)이상치 검정'!$E$6)/'(검증1)이상치 검정'!$F$6)</f>
        <v>2.5549529644698192</v>
      </c>
      <c r="H309" s="15" t="str">
        <f>IF(G309&gt;'(검증1)이상치 검정'!$G$6,"Alert","")</f>
        <v>Alert</v>
      </c>
    </row>
    <row r="310" spans="1:8" s="9" customFormat="1">
      <c r="A310" s="7" t="s">
        <v>15</v>
      </c>
      <c r="B310" s="7">
        <v>51</v>
      </c>
      <c r="C310" s="7" t="s">
        <v>20</v>
      </c>
      <c r="D310" s="8">
        <v>-5.4</v>
      </c>
      <c r="E310" s="12">
        <v>44422.966793981483</v>
      </c>
      <c r="G310" s="9">
        <f>ABS((D310-'(검증1)이상치 검정'!$E$6)/'(검증1)이상치 검정'!$F$6)</f>
        <v>0.34380633558828616</v>
      </c>
      <c r="H310" s="15" t="str">
        <f>IF(G310&gt;'(검증1)이상치 검정'!$G$6,"Alert","")</f>
        <v/>
      </c>
    </row>
    <row r="311" spans="1:8" s="9" customFormat="1">
      <c r="A311" s="7" t="s">
        <v>15</v>
      </c>
      <c r="B311" s="7">
        <v>52</v>
      </c>
      <c r="C311" s="7" t="s">
        <v>21</v>
      </c>
      <c r="D311" s="8">
        <v>-7</v>
      </c>
      <c r="E311" s="12">
        <v>44422.967488425929</v>
      </c>
      <c r="G311" s="9">
        <f>ABS((D311-'(검증1)이상치 검정'!$E$6)/'(검증1)이상치 검정'!$F$6)</f>
        <v>1.202198624442703</v>
      </c>
      <c r="H311" s="15" t="str">
        <f>IF(G311&gt;'(검증1)이상치 검정'!$G$6,"Alert","")</f>
        <v/>
      </c>
    </row>
    <row r="312" spans="1:8" s="9" customFormat="1">
      <c r="A312" s="7" t="s">
        <v>15</v>
      </c>
      <c r="B312" s="7">
        <v>53</v>
      </c>
      <c r="C312" s="7" t="s">
        <v>22</v>
      </c>
      <c r="D312" s="8">
        <v>-6.8</v>
      </c>
      <c r="E312" s="12">
        <v>44422.968182870369</v>
      </c>
      <c r="G312" s="9">
        <f>ABS((D312-'(검증1)이상치 검정'!$E$6)/'(검증1)이상치 검정'!$F$6)</f>
        <v>1.0089480044388293</v>
      </c>
      <c r="H312" s="15" t="str">
        <f>IF(G312&gt;'(검증1)이상치 검정'!$G$6,"Alert","")</f>
        <v/>
      </c>
    </row>
    <row r="313" spans="1:8" s="9" customFormat="1">
      <c r="A313" s="7" t="s">
        <v>15</v>
      </c>
      <c r="B313" s="7">
        <v>54</v>
      </c>
      <c r="C313" s="7" t="s">
        <v>23</v>
      </c>
      <c r="D313" s="8">
        <v>-6.1</v>
      </c>
      <c r="E313" s="12">
        <v>44422.968877314815</v>
      </c>
      <c r="G313" s="9">
        <f>ABS((D313-'(검증1)이상치 검정'!$E$6)/'(검증1)이상치 검정'!$F$6)</f>
        <v>0.33257083442527108</v>
      </c>
      <c r="H313" s="15" t="str">
        <f>IF(G313&gt;'(검증1)이상치 검정'!$G$6,"Alert","")</f>
        <v/>
      </c>
    </row>
    <row r="314" spans="1:8" s="9" customFormat="1">
      <c r="A314" s="7" t="s">
        <v>15</v>
      </c>
      <c r="B314" s="7">
        <v>55</v>
      </c>
      <c r="C314" s="7" t="s">
        <v>24</v>
      </c>
      <c r="D314" s="8">
        <v>-7.3</v>
      </c>
      <c r="E314" s="12">
        <v>44422.969571759262</v>
      </c>
      <c r="G314" s="9">
        <f>ABS((D314-'(검증1)이상치 검정'!$E$6)/'(검증1)이상치 검정'!$F$6)</f>
        <v>1.4920745544485134</v>
      </c>
      <c r="H314" s="15" t="str">
        <f>IF(G314&gt;'(검증1)이상치 검정'!$G$6,"Alert","")</f>
        <v/>
      </c>
    </row>
    <row r="315" spans="1:8" s="9" customFormat="1">
      <c r="A315" s="7" t="s">
        <v>15</v>
      </c>
      <c r="B315" s="7">
        <v>56</v>
      </c>
      <c r="C315" s="7" t="s">
        <v>25</v>
      </c>
      <c r="D315" s="8">
        <v>-5.5</v>
      </c>
      <c r="E315" s="12">
        <v>44422.970266203702</v>
      </c>
      <c r="G315" s="9">
        <f>ABS((D315-'(검증1)이상치 검정'!$E$6)/'(검증1)이상치 검정'!$F$6)</f>
        <v>0.24718102558634966</v>
      </c>
      <c r="H315" s="15" t="str">
        <f>IF(G315&gt;'(검증1)이상치 검정'!$G$6,"Alert","")</f>
        <v/>
      </c>
    </row>
    <row r="316" spans="1:8" s="9" customFormat="1">
      <c r="A316" s="7" t="s">
        <v>15</v>
      </c>
      <c r="B316" s="7">
        <v>57</v>
      </c>
      <c r="C316" s="7" t="s">
        <v>26</v>
      </c>
      <c r="D316" s="8">
        <v>-6.1</v>
      </c>
      <c r="E316" s="12">
        <v>44422.970960648148</v>
      </c>
      <c r="G316" s="9">
        <f>ABS((D316-'(검증1)이상치 검정'!$E$6)/'(검증1)이상치 검정'!$F$6)</f>
        <v>0.33257083442527108</v>
      </c>
      <c r="H316" s="15" t="str">
        <f>IF(G316&gt;'(검증1)이상치 검정'!$G$6,"Alert","")</f>
        <v/>
      </c>
    </row>
    <row r="317" spans="1:8" s="9" customFormat="1">
      <c r="A317" s="7" t="s">
        <v>15</v>
      </c>
      <c r="B317" s="7">
        <v>58</v>
      </c>
      <c r="C317" s="7" t="s">
        <v>27</v>
      </c>
      <c r="D317" s="8">
        <v>-4.7</v>
      </c>
      <c r="E317" s="12">
        <v>44422.971655092595</v>
      </c>
      <c r="G317" s="9">
        <f>ABS((D317-'(검증1)이상치 검정'!$E$6)/'(검증1)이상치 검정'!$F$6)</f>
        <v>1.0201835056018442</v>
      </c>
      <c r="H317" s="15" t="str">
        <f>IF(G317&gt;'(검증1)이상치 검정'!$G$6,"Alert","")</f>
        <v/>
      </c>
    </row>
    <row r="318" spans="1:8" s="9" customFormat="1">
      <c r="A318" s="7" t="s">
        <v>15</v>
      </c>
      <c r="B318" s="7">
        <v>59</v>
      </c>
      <c r="C318" s="7" t="s">
        <v>28</v>
      </c>
      <c r="D318" s="8">
        <v>-5.2</v>
      </c>
      <c r="E318" s="12">
        <v>44422.972349537034</v>
      </c>
      <c r="G318" s="9">
        <f>ABS((D318-'(검증1)이상치 검정'!$E$6)/'(검증1)이상치 검정'!$F$6)</f>
        <v>0.53705695559216005</v>
      </c>
      <c r="H318" s="15" t="str">
        <f>IF(G318&gt;'(검증1)이상치 검정'!$G$6,"Alert","")</f>
        <v/>
      </c>
    </row>
    <row r="319" spans="1:8" s="9" customFormat="1">
      <c r="A319" s="7" t="s">
        <v>15</v>
      </c>
      <c r="B319" s="7">
        <v>60</v>
      </c>
      <c r="C319" s="7" t="s">
        <v>29</v>
      </c>
      <c r="D319" s="8">
        <v>-4.5999999999999996</v>
      </c>
      <c r="E319" s="12">
        <v>44422.973043981481</v>
      </c>
      <c r="G319" s="9">
        <f>ABS((D319-'(검증1)이상치 검정'!$E$6)/'(검증1)이상치 검정'!$F$6)</f>
        <v>1.1168088156037816</v>
      </c>
      <c r="H319" s="15" t="str">
        <f>IF(G319&gt;'(검증1)이상치 검정'!$G$6,"Alert","")</f>
        <v/>
      </c>
    </row>
    <row r="320" spans="1:8" s="9" customFormat="1">
      <c r="A320" s="7" t="s">
        <v>15</v>
      </c>
      <c r="B320" s="7">
        <v>61</v>
      </c>
      <c r="C320" s="7" t="s">
        <v>30</v>
      </c>
      <c r="D320" s="8">
        <v>-4.9000000000000004</v>
      </c>
      <c r="E320" s="12">
        <v>44422.973738425928</v>
      </c>
      <c r="G320" s="9">
        <f>ABS((D320-'(검증1)이상치 검정'!$E$6)/'(검증1)이상치 검정'!$F$6)</f>
        <v>0.8269328855979704</v>
      </c>
      <c r="H320" s="15" t="str">
        <f>IF(G320&gt;'(검증1)이상치 검정'!$G$6,"Alert","")</f>
        <v/>
      </c>
    </row>
    <row r="321" spans="1:8" s="9" customFormat="1">
      <c r="A321" s="7" t="s">
        <v>15</v>
      </c>
      <c r="B321" s="7">
        <v>62</v>
      </c>
      <c r="C321" s="7" t="s">
        <v>31</v>
      </c>
      <c r="D321" s="8">
        <v>-4</v>
      </c>
      <c r="E321" s="12">
        <v>44422.974432870367</v>
      </c>
      <c r="G321" s="9">
        <f>ABS((D321-'(검증1)이상치 검정'!$E$6)/'(검증1)이상치 검정'!$F$6)</f>
        <v>1.6965606756154024</v>
      </c>
      <c r="H321" s="15" t="str">
        <f>IF(G321&gt;'(검증1)이상치 검정'!$G$6,"Alert","")</f>
        <v>Alert</v>
      </c>
    </row>
    <row r="322" spans="1:8" s="9" customFormat="1">
      <c r="A322" s="7" t="s">
        <v>15</v>
      </c>
      <c r="B322" s="7">
        <v>63</v>
      </c>
      <c r="C322" s="7" t="s">
        <v>32</v>
      </c>
      <c r="D322" s="8">
        <v>-4.5</v>
      </c>
      <c r="E322" s="12">
        <v>44422.975127314814</v>
      </c>
      <c r="G322" s="9">
        <f>ABS((D322-'(검증1)이상치 검정'!$E$6)/'(검증1)이상치 검정'!$F$6)</f>
        <v>1.2134341256057182</v>
      </c>
      <c r="H322" s="15" t="str">
        <f>IF(G322&gt;'(검증1)이상치 검정'!$G$6,"Alert","")</f>
        <v/>
      </c>
    </row>
    <row r="323" spans="1:8" s="9" customFormat="1">
      <c r="A323" s="7" t="s">
        <v>15</v>
      </c>
      <c r="B323" s="7">
        <v>64</v>
      </c>
      <c r="C323" s="7" t="s">
        <v>33</v>
      </c>
      <c r="D323" s="8">
        <v>-5.4</v>
      </c>
      <c r="E323" s="12">
        <v>44422.975821759261</v>
      </c>
      <c r="G323" s="9">
        <f>ABS((D323-'(검증1)이상치 검정'!$E$6)/'(검증1)이상치 검정'!$F$6)</f>
        <v>0.34380633558828616</v>
      </c>
      <c r="H323" s="15" t="str">
        <f>IF(G323&gt;'(검증1)이상치 검정'!$G$6,"Alert","")</f>
        <v/>
      </c>
    </row>
    <row r="324" spans="1:8" s="9" customFormat="1">
      <c r="A324" s="7" t="s">
        <v>15</v>
      </c>
      <c r="B324" s="7">
        <v>65</v>
      </c>
      <c r="C324" s="7" t="s">
        <v>34</v>
      </c>
      <c r="D324" s="8">
        <v>-5.8</v>
      </c>
      <c r="E324" s="12">
        <v>44422.9765162037</v>
      </c>
      <c r="G324" s="9">
        <f>ABS((D324-'(검증1)이상치 검정'!$E$6)/'(검증1)이상치 검정'!$F$6)</f>
        <v>4.2694904419460715E-2</v>
      </c>
      <c r="H324" s="15" t="str">
        <f>IF(G324&gt;'(검증1)이상치 검정'!$G$6,"Alert","")</f>
        <v/>
      </c>
    </row>
    <row r="325" spans="1:8" s="9" customFormat="1">
      <c r="A325" s="7" t="s">
        <v>15</v>
      </c>
      <c r="B325" s="7">
        <v>66</v>
      </c>
      <c r="C325" s="7" t="s">
        <v>35</v>
      </c>
      <c r="D325" s="8">
        <v>-6</v>
      </c>
      <c r="E325" s="12">
        <v>44422.977210648147</v>
      </c>
      <c r="G325" s="9">
        <f>ABS((D325-'(검증1)이상치 검정'!$E$6)/'(검증1)이상치 검정'!$F$6)</f>
        <v>0.23594552442333458</v>
      </c>
      <c r="H325" s="15" t="str">
        <f>IF(G325&gt;'(검증1)이상치 검정'!$G$6,"Alert","")</f>
        <v/>
      </c>
    </row>
    <row r="326" spans="1:8" s="9" customFormat="1">
      <c r="A326" s="7" t="s">
        <v>15</v>
      </c>
      <c r="B326" s="7">
        <v>67</v>
      </c>
      <c r="C326" s="7" t="s">
        <v>36</v>
      </c>
      <c r="D326" s="8">
        <v>-6.1</v>
      </c>
      <c r="E326" s="12">
        <v>44422.977905092594</v>
      </c>
      <c r="G326" s="9">
        <f>ABS((D326-'(검증1)이상치 검정'!$E$6)/'(검증1)이상치 검정'!$F$6)</f>
        <v>0.33257083442527108</v>
      </c>
      <c r="H326" s="15" t="str">
        <f>IF(G326&gt;'(검증1)이상치 검정'!$G$6,"Alert","")</f>
        <v/>
      </c>
    </row>
    <row r="327" spans="1:8" s="9" customFormat="1">
      <c r="A327" s="7" t="s">
        <v>15</v>
      </c>
      <c r="B327" s="7">
        <v>68</v>
      </c>
      <c r="C327" s="7" t="s">
        <v>37</v>
      </c>
      <c r="D327" s="8">
        <v>-7.3</v>
      </c>
      <c r="E327" s="12">
        <v>44422.97859953704</v>
      </c>
      <c r="G327" s="9">
        <f>ABS((D327-'(검증1)이상치 검정'!$E$6)/'(검증1)이상치 검정'!$F$6)</f>
        <v>1.4920745544485134</v>
      </c>
      <c r="H327" s="15" t="str">
        <f>IF(G327&gt;'(검증1)이상치 검정'!$G$6,"Alert","")</f>
        <v/>
      </c>
    </row>
    <row r="328" spans="1:8" s="9" customFormat="1">
      <c r="A328" s="7" t="s">
        <v>15</v>
      </c>
      <c r="B328" s="7">
        <v>69</v>
      </c>
      <c r="C328" s="7" t="s">
        <v>38</v>
      </c>
      <c r="D328" s="8">
        <v>-5.8</v>
      </c>
      <c r="E328" s="12">
        <v>44422.97929398148</v>
      </c>
      <c r="G328" s="9">
        <f>ABS((D328-'(검증1)이상치 검정'!$E$6)/'(검증1)이상치 검정'!$F$6)</f>
        <v>4.2694904419460715E-2</v>
      </c>
      <c r="H328" s="15" t="str">
        <f>IF(G328&gt;'(검증1)이상치 검정'!$G$6,"Alert","")</f>
        <v/>
      </c>
    </row>
    <row r="329" spans="1:8" s="9" customFormat="1">
      <c r="A329" s="7" t="s">
        <v>15</v>
      </c>
      <c r="B329" s="7">
        <v>70</v>
      </c>
      <c r="C329" s="7" t="s">
        <v>39</v>
      </c>
      <c r="D329" s="8">
        <v>-7.9</v>
      </c>
      <c r="E329" s="12">
        <v>44422.979988425926</v>
      </c>
      <c r="G329" s="9">
        <f>ABS((D329-'(검증1)이상치 검정'!$E$6)/'(검증1)이상치 검정'!$F$6)</f>
        <v>2.0718264144601348</v>
      </c>
      <c r="H329" s="15" t="str">
        <f>IF(G329&gt;'(검증1)이상치 검정'!$G$6,"Alert","")</f>
        <v>Alert</v>
      </c>
    </row>
    <row r="330" spans="1:8" s="9" customFormat="1">
      <c r="A330" s="7" t="s">
        <v>15</v>
      </c>
      <c r="B330" s="7">
        <v>71</v>
      </c>
      <c r="C330" s="7" t="s">
        <v>40</v>
      </c>
      <c r="D330" s="8">
        <v>-5.3</v>
      </c>
      <c r="E330" s="12">
        <v>44422.980682870373</v>
      </c>
      <c r="G330" s="9">
        <f>ABS((D330-'(검증1)이상치 검정'!$E$6)/'(검증1)이상치 검정'!$F$6)</f>
        <v>0.44043164559022352</v>
      </c>
      <c r="H330" s="15" t="str">
        <f>IF(G330&gt;'(검증1)이상치 검정'!$G$6,"Alert","")</f>
        <v/>
      </c>
    </row>
    <row r="331" spans="1:8" s="9" customFormat="1">
      <c r="A331" s="7" t="s">
        <v>15</v>
      </c>
      <c r="B331" s="7">
        <v>72</v>
      </c>
      <c r="C331" s="7" t="s">
        <v>41</v>
      </c>
      <c r="D331" s="8">
        <v>-7.7</v>
      </c>
      <c r="E331" s="12">
        <v>44422.981377314813</v>
      </c>
      <c r="G331" s="9">
        <f>ABS((D331-'(검증1)이상치 검정'!$E$6)/'(검증1)이상치 검정'!$F$6)</f>
        <v>1.8785757944562611</v>
      </c>
      <c r="H331" s="15" t="str">
        <f>IF(G331&gt;'(검증1)이상치 검정'!$G$6,"Alert","")</f>
        <v>Alert</v>
      </c>
    </row>
    <row r="332" spans="1:8" s="9" customFormat="1">
      <c r="A332" s="7" t="s">
        <v>15</v>
      </c>
      <c r="B332" s="7">
        <v>73</v>
      </c>
      <c r="C332" s="7" t="s">
        <v>42</v>
      </c>
      <c r="D332" s="8">
        <v>-5.7</v>
      </c>
      <c r="E332" s="12">
        <v>44422.982071759259</v>
      </c>
      <c r="G332" s="9">
        <f>ABS((D332-'(검증1)이상치 검정'!$E$6)/'(검증1)이상치 검정'!$F$6)</f>
        <v>5.3930405582475791E-2</v>
      </c>
      <c r="H332" s="15" t="str">
        <f>IF(G332&gt;'(검증1)이상치 검정'!$G$6,"Alert","")</f>
        <v/>
      </c>
    </row>
    <row r="333" spans="1:8" s="9" customFormat="1">
      <c r="A333" s="7" t="s">
        <v>15</v>
      </c>
      <c r="B333" s="7">
        <v>74</v>
      </c>
      <c r="C333" s="7" t="s">
        <v>43</v>
      </c>
      <c r="D333" s="8">
        <v>-6.9</v>
      </c>
      <c r="E333" s="12">
        <v>44422.982766203706</v>
      </c>
      <c r="G333" s="9">
        <f>ABS((D333-'(검증1)이상치 검정'!$E$6)/'(검증1)이상치 검정'!$F$6)</f>
        <v>1.1055733144407665</v>
      </c>
      <c r="H333" s="15" t="str">
        <f>IF(G333&gt;'(검증1)이상치 검정'!$G$6,"Alert","")</f>
        <v/>
      </c>
    </row>
    <row r="334" spans="1:8" s="9" customFormat="1">
      <c r="A334" s="7" t="s">
        <v>15</v>
      </c>
      <c r="B334" s="7">
        <v>75</v>
      </c>
      <c r="C334" s="7" t="s">
        <v>44</v>
      </c>
      <c r="D334" s="8">
        <v>-6.3</v>
      </c>
      <c r="E334" s="12">
        <v>44422.983460648145</v>
      </c>
      <c r="G334" s="9">
        <f>ABS((D334-'(검증1)이상치 검정'!$E$6)/'(검증1)이상치 검정'!$F$6)</f>
        <v>0.52582145442914496</v>
      </c>
      <c r="H334" s="15" t="str">
        <f>IF(G334&gt;'(검증1)이상치 검정'!$G$6,"Alert","")</f>
        <v/>
      </c>
    </row>
    <row r="335" spans="1:8" s="9" customFormat="1">
      <c r="A335" s="7" t="s">
        <v>15</v>
      </c>
      <c r="B335" s="7">
        <v>76</v>
      </c>
      <c r="C335" s="7" t="s">
        <v>95</v>
      </c>
      <c r="D335" s="8">
        <v>-5.2</v>
      </c>
      <c r="E335" s="12">
        <v>44422.984155092592</v>
      </c>
      <c r="G335" s="9">
        <f>ABS((D335-'(검증1)이상치 검정'!$E$6)/'(검증1)이상치 검정'!$F$6)</f>
        <v>0.53705695559216005</v>
      </c>
      <c r="H335" s="15" t="str">
        <f>IF(G335&gt;'(검증1)이상치 검정'!$G$6,"Alert","")</f>
        <v/>
      </c>
    </row>
    <row r="336" spans="1:8" s="9" customFormat="1">
      <c r="A336" s="7" t="s">
        <v>15</v>
      </c>
      <c r="B336" s="7">
        <v>77</v>
      </c>
      <c r="C336" s="7" t="s">
        <v>96</v>
      </c>
      <c r="D336" s="8">
        <v>-5.3</v>
      </c>
      <c r="E336" s="12">
        <v>44422.984849537039</v>
      </c>
      <c r="G336" s="9">
        <f>ABS((D336-'(검증1)이상치 검정'!$E$6)/'(검증1)이상치 검정'!$F$6)</f>
        <v>0.44043164559022352</v>
      </c>
      <c r="H336" s="15" t="str">
        <f>IF(G336&gt;'(검증1)이상치 검정'!$G$6,"Alert","")</f>
        <v/>
      </c>
    </row>
    <row r="337" spans="1:8" s="9" customFormat="1">
      <c r="A337" s="7" t="s">
        <v>15</v>
      </c>
      <c r="B337" s="7">
        <v>78</v>
      </c>
      <c r="C337" s="7" t="s">
        <v>97</v>
      </c>
      <c r="D337" s="8">
        <v>-4.2</v>
      </c>
      <c r="E337" s="12">
        <v>44422.985543981478</v>
      </c>
      <c r="G337" s="9">
        <f>ABS((D337-'(검증1)이상치 검정'!$E$6)/'(검증1)이상치 검정'!$F$6)</f>
        <v>1.5033100556115284</v>
      </c>
      <c r="H337" s="15" t="str">
        <f>IF(G337&gt;'(검증1)이상치 검정'!$G$6,"Alert","")</f>
        <v/>
      </c>
    </row>
    <row r="338" spans="1:8" s="9" customFormat="1">
      <c r="A338" s="7" t="s">
        <v>15</v>
      </c>
      <c r="B338" s="7">
        <v>79</v>
      </c>
      <c r="C338" s="7" t="s">
        <v>98</v>
      </c>
      <c r="D338" s="8">
        <v>-5.7</v>
      </c>
      <c r="E338" s="12">
        <v>44422.986238425925</v>
      </c>
      <c r="G338" s="9">
        <f>ABS((D338-'(검증1)이상치 검정'!$E$6)/'(검증1)이상치 검정'!$F$6)</f>
        <v>5.3930405582475791E-2</v>
      </c>
      <c r="H338" s="15" t="str">
        <f>IF(G338&gt;'(검증1)이상치 검정'!$G$6,"Alert","")</f>
        <v/>
      </c>
    </row>
    <row r="339" spans="1:8" s="9" customFormat="1">
      <c r="A339" s="7" t="s">
        <v>15</v>
      </c>
      <c r="B339" s="7">
        <v>80</v>
      </c>
      <c r="C339" s="7" t="s">
        <v>99</v>
      </c>
      <c r="D339" s="8">
        <v>-4.7</v>
      </c>
      <c r="E339" s="12">
        <v>44422.986932870372</v>
      </c>
      <c r="G339" s="9">
        <f>ABS((D339-'(검증1)이상치 검정'!$E$6)/'(검증1)이상치 검정'!$F$6)</f>
        <v>1.0201835056018442</v>
      </c>
      <c r="H339" s="15" t="str">
        <f>IF(G339&gt;'(검증1)이상치 검정'!$G$6,"Alert","")</f>
        <v/>
      </c>
    </row>
    <row r="340" spans="1:8" s="9" customFormat="1">
      <c r="A340" s="7" t="s">
        <v>15</v>
      </c>
      <c r="B340" s="7">
        <v>81</v>
      </c>
      <c r="C340" s="7" t="s">
        <v>100</v>
      </c>
      <c r="D340" s="8">
        <v>-5</v>
      </c>
      <c r="E340" s="12">
        <v>44422.987627314818</v>
      </c>
      <c r="G340" s="9">
        <f>ABS((D340-'(검증1)이상치 검정'!$E$6)/'(검증1)이상치 검정'!$F$6)</f>
        <v>0.73030757559603388</v>
      </c>
      <c r="H340" s="15" t="str">
        <f>IF(G340&gt;'(검증1)이상치 검정'!$G$6,"Alert","")</f>
        <v/>
      </c>
    </row>
    <row r="341" spans="1:8" s="9" customFormat="1">
      <c r="A341" s="7" t="s">
        <v>15</v>
      </c>
      <c r="B341" s="7">
        <v>82</v>
      </c>
      <c r="C341" s="7" t="s">
        <v>101</v>
      </c>
      <c r="D341" s="8">
        <v>-6.2</v>
      </c>
      <c r="E341" s="12">
        <v>44422.988321759258</v>
      </c>
      <c r="G341" s="9">
        <f>ABS((D341-'(검증1)이상치 검정'!$E$6)/'(검증1)이상치 검정'!$F$6)</f>
        <v>0.42919614442720844</v>
      </c>
      <c r="H341" s="15" t="str">
        <f>IF(G341&gt;'(검증1)이상치 검정'!$G$6,"Alert","")</f>
        <v/>
      </c>
    </row>
    <row r="342" spans="1:8" s="9" customFormat="1">
      <c r="A342" s="7" t="s">
        <v>15</v>
      </c>
      <c r="B342" s="7">
        <v>83</v>
      </c>
      <c r="C342" s="7" t="s">
        <v>102</v>
      </c>
      <c r="D342" s="8">
        <v>-5</v>
      </c>
      <c r="E342" s="12">
        <v>44422.989016203705</v>
      </c>
      <c r="G342" s="9">
        <f>ABS((D342-'(검증1)이상치 검정'!$E$6)/'(검증1)이상치 검정'!$F$6)</f>
        <v>0.73030757559603388</v>
      </c>
      <c r="H342" s="15" t="str">
        <f>IF(G342&gt;'(검증1)이상치 검정'!$G$6,"Alert","")</f>
        <v/>
      </c>
    </row>
    <row r="343" spans="1:8" s="9" customFormat="1">
      <c r="A343" s="7" t="s">
        <v>15</v>
      </c>
      <c r="B343" s="7">
        <v>84</v>
      </c>
      <c r="C343" s="7" t="s">
        <v>103</v>
      </c>
      <c r="D343" s="8">
        <v>-6.5</v>
      </c>
      <c r="E343" s="12">
        <v>44422.989710648151</v>
      </c>
      <c r="G343" s="9">
        <f>ABS((D343-'(검증1)이상치 검정'!$E$6)/'(검증1)이상치 검정'!$F$6)</f>
        <v>0.71907207443301879</v>
      </c>
      <c r="H343" s="15" t="str">
        <f>IF(G343&gt;'(검증1)이상치 검정'!$G$6,"Alert","")</f>
        <v/>
      </c>
    </row>
    <row r="344" spans="1:8" s="9" customFormat="1">
      <c r="A344" s="7" t="s">
        <v>15</v>
      </c>
      <c r="B344" s="7">
        <v>85</v>
      </c>
      <c r="C344" s="7" t="s">
        <v>104</v>
      </c>
      <c r="D344" s="8">
        <v>-6.2</v>
      </c>
      <c r="E344" s="12">
        <v>44422.990405092591</v>
      </c>
      <c r="G344" s="9">
        <f>ABS((D344-'(검증1)이상치 검정'!$E$6)/'(검증1)이상치 검정'!$F$6)</f>
        <v>0.42919614442720844</v>
      </c>
      <c r="H344" s="15" t="str">
        <f>IF(G344&gt;'(검증1)이상치 검정'!$G$6,"Alert","")</f>
        <v/>
      </c>
    </row>
    <row r="345" spans="1:8" s="9" customFormat="1">
      <c r="A345" s="7" t="s">
        <v>15</v>
      </c>
      <c r="B345" s="7">
        <v>86</v>
      </c>
      <c r="C345" s="7" t="s">
        <v>105</v>
      </c>
      <c r="D345" s="8">
        <v>-7</v>
      </c>
      <c r="E345" s="12">
        <v>44422.991099537037</v>
      </c>
      <c r="G345" s="9">
        <f>ABS((D345-'(검증1)이상치 검정'!$E$6)/'(검증1)이상치 검정'!$F$6)</f>
        <v>1.202198624442703</v>
      </c>
      <c r="H345" s="15" t="str">
        <f>IF(G345&gt;'(검증1)이상치 검정'!$G$6,"Alert","")</f>
        <v/>
      </c>
    </row>
  </sheetData>
  <autoFilter ref="A1:F345" xr:uid="{00000000-0009-0000-0000-000002000000}"/>
  <sortState xmlns:xlrd2="http://schemas.microsoft.com/office/spreadsheetml/2017/richdata2" ref="A2:E345">
    <sortCondition ref="A2:A345"/>
    <sortCondition ref="E2:E345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57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G45" sqref="G45"/>
    </sheetView>
  </sheetViews>
  <sheetFormatPr baseColWidth="10" defaultColWidth="9" defaultRowHeight="15"/>
  <cols>
    <col min="1" max="1" width="13.6640625" style="6" bestFit="1" customWidth="1"/>
    <col min="2" max="2" width="7.6640625" style="6" bestFit="1" customWidth="1"/>
    <col min="3" max="3" width="17.5" style="6" bestFit="1" customWidth="1"/>
    <col min="4" max="4" width="6.83203125" style="6" bestFit="1" customWidth="1"/>
    <col min="5" max="5" width="19.1640625" style="6" bestFit="1" customWidth="1"/>
    <col min="6" max="6" width="2.6640625" style="6" customWidth="1"/>
    <col min="7" max="16384" width="9" style="6"/>
  </cols>
  <sheetData>
    <row r="1" spans="1:8" s="5" customFormat="1">
      <c r="A1" s="1" t="s">
        <v>0</v>
      </c>
      <c r="B1" s="1" t="s">
        <v>179</v>
      </c>
      <c r="C1" s="1" t="s">
        <v>17</v>
      </c>
      <c r="D1" s="1" t="s">
        <v>18</v>
      </c>
      <c r="E1" s="1" t="s">
        <v>19</v>
      </c>
      <c r="G1" s="10" t="s">
        <v>194</v>
      </c>
      <c r="H1" s="13" t="s">
        <v>196</v>
      </c>
    </row>
    <row r="2" spans="1:8">
      <c r="A2" s="2" t="s">
        <v>9</v>
      </c>
      <c r="B2" s="2">
        <v>1</v>
      </c>
      <c r="C2" s="2" t="s">
        <v>107</v>
      </c>
      <c r="D2" s="3">
        <v>40.200000000000003</v>
      </c>
      <c r="E2" s="11">
        <v>44423.170185185183</v>
      </c>
      <c r="G2" s="6">
        <f>ABS((D2-'(검증1)이상치 검정'!$E$8)/'(검증1)이상치 검정'!$F$8)</f>
        <v>0.89362369787063078</v>
      </c>
      <c r="H2" s="14" t="str">
        <f>IF(G2&gt;'(검증1)이상치 검정'!$G$8,"Alert","")</f>
        <v/>
      </c>
    </row>
    <row r="3" spans="1:8">
      <c r="A3" s="2" t="s">
        <v>9</v>
      </c>
      <c r="B3" s="2">
        <v>2</v>
      </c>
      <c r="C3" s="2" t="s">
        <v>108</v>
      </c>
      <c r="D3" s="3">
        <v>40.200000000000003</v>
      </c>
      <c r="E3" s="11">
        <v>44423.17087962963</v>
      </c>
      <c r="G3" s="6">
        <f>ABS((D3-'(검증1)이상치 검정'!$E$8)/'(검증1)이상치 검정'!$F$8)</f>
        <v>0.89362369787063078</v>
      </c>
      <c r="H3" s="14" t="str">
        <f>IF(G3&gt;'(검증1)이상치 검정'!$G$8,"Alert","")</f>
        <v/>
      </c>
    </row>
    <row r="4" spans="1:8">
      <c r="A4" s="2" t="s">
        <v>9</v>
      </c>
      <c r="B4" s="2">
        <v>3</v>
      </c>
      <c r="C4" s="2" t="s">
        <v>109</v>
      </c>
      <c r="D4" s="3">
        <v>40.200000000000003</v>
      </c>
      <c r="E4" s="11">
        <v>44423.171574074076</v>
      </c>
      <c r="G4" s="6">
        <f>ABS((D4-'(검증1)이상치 검정'!$E$8)/'(검증1)이상치 검정'!$F$8)</f>
        <v>0.89362369787063078</v>
      </c>
      <c r="H4" s="14" t="str">
        <f>IF(G4&gt;'(검증1)이상치 검정'!$G$8,"Alert","")</f>
        <v/>
      </c>
    </row>
    <row r="5" spans="1:8">
      <c r="A5" s="2" t="s">
        <v>9</v>
      </c>
      <c r="B5" s="2">
        <v>4</v>
      </c>
      <c r="C5" s="2" t="s">
        <v>110</v>
      </c>
      <c r="D5" s="3">
        <v>40.1</v>
      </c>
      <c r="E5" s="11">
        <v>44423.172268518516</v>
      </c>
      <c r="G5" s="6">
        <f>ABS((D5-'(검증1)이상치 검정'!$E$8)/'(검증1)이상치 검정'!$F$8)</f>
        <v>0.54275304349195763</v>
      </c>
      <c r="H5" s="14" t="str">
        <f>IF(G5&gt;'(검증1)이상치 검정'!$G$8,"Alert","")</f>
        <v/>
      </c>
    </row>
    <row r="6" spans="1:8">
      <c r="A6" s="2" t="s">
        <v>9</v>
      </c>
      <c r="B6" s="2">
        <v>5</v>
      </c>
      <c r="C6" s="2" t="s">
        <v>111</v>
      </c>
      <c r="D6" s="3">
        <v>40.1</v>
      </c>
      <c r="E6" s="11">
        <v>44423.172962962963</v>
      </c>
      <c r="G6" s="6">
        <f>ABS((D6-'(검증1)이상치 검정'!$E$8)/'(검증1)이상치 검정'!$F$8)</f>
        <v>0.54275304349195763</v>
      </c>
      <c r="H6" s="14" t="str">
        <f>IF(G6&gt;'(검증1)이상치 검정'!$G$8,"Alert","")</f>
        <v/>
      </c>
    </row>
    <row r="7" spans="1:8">
      <c r="A7" s="2" t="s">
        <v>9</v>
      </c>
      <c r="B7" s="2">
        <v>6</v>
      </c>
      <c r="C7" s="2" t="s">
        <v>112</v>
      </c>
      <c r="D7" s="3">
        <v>40.1</v>
      </c>
      <c r="E7" s="11">
        <f>AVERAGE('02 정보2'!D17:D65)</f>
        <v>39.926530612244903</v>
      </c>
      <c r="G7" s="6">
        <f>ABS((D7-'(검증1)이상치 검정'!$E$8)/'(검증1)이상치 검정'!$F$8)</f>
        <v>0.54275304349195763</v>
      </c>
      <c r="H7" s="14" t="str">
        <f>IF(G7&gt;'(검증1)이상치 검정'!$G$8,"Alert","")</f>
        <v/>
      </c>
    </row>
    <row r="8" spans="1:8">
      <c r="A8" s="2" t="s">
        <v>9</v>
      </c>
      <c r="B8" s="2">
        <v>7</v>
      </c>
      <c r="C8" s="2" t="s">
        <v>113</v>
      </c>
      <c r="D8" s="3">
        <v>40</v>
      </c>
      <c r="E8" s="11">
        <v>44423.174351851849</v>
      </c>
      <c r="G8" s="6">
        <f>ABS((D8-'(검증1)이상치 검정'!$E$8)/'(검증1)이상치 검정'!$F$8)</f>
        <v>0.19188238911328434</v>
      </c>
      <c r="H8" s="14" t="str">
        <f>IF(G8&gt;'(검증1)이상치 검정'!$G$8,"Alert","")</f>
        <v/>
      </c>
    </row>
    <row r="9" spans="1:8">
      <c r="A9" s="2" t="s">
        <v>9</v>
      </c>
      <c r="B9" s="2">
        <v>8</v>
      </c>
      <c r="C9" s="2" t="s">
        <v>114</v>
      </c>
      <c r="D9" s="3">
        <v>40</v>
      </c>
      <c r="E9" s="11">
        <v>44423.175046296295</v>
      </c>
      <c r="G9" s="6">
        <f>ABS((D9-'(검증1)이상치 검정'!$E$8)/'(검증1)이상치 검정'!$F$8)</f>
        <v>0.19188238911328434</v>
      </c>
      <c r="H9" s="14" t="str">
        <f>IF(G9&gt;'(검증1)이상치 검정'!$G$8,"Alert","")</f>
        <v/>
      </c>
    </row>
    <row r="10" spans="1:8">
      <c r="A10" s="2" t="s">
        <v>9</v>
      </c>
      <c r="B10" s="2">
        <v>9</v>
      </c>
      <c r="C10" s="2" t="s">
        <v>115</v>
      </c>
      <c r="D10" s="3">
        <v>40.1</v>
      </c>
      <c r="E10" s="11">
        <v>44423.175740740742</v>
      </c>
      <c r="G10" s="6">
        <f>ABS((D10-'(검증1)이상치 검정'!$E$8)/'(검증1)이상치 검정'!$F$8)</f>
        <v>0.54275304349195763</v>
      </c>
      <c r="H10" s="14" t="str">
        <f>IF(G10&gt;'(검증1)이상치 검정'!$G$8,"Alert","")</f>
        <v/>
      </c>
    </row>
    <row r="11" spans="1:8">
      <c r="A11" s="2" t="s">
        <v>9</v>
      </c>
      <c r="B11" s="2">
        <v>10</v>
      </c>
      <c r="C11" s="2" t="s">
        <v>116</v>
      </c>
      <c r="D11" s="3">
        <v>39.9</v>
      </c>
      <c r="E11" s="11">
        <v>44423.176435185182</v>
      </c>
      <c r="G11" s="6">
        <f>ABS((D11-'(검증1)이상치 검정'!$E$8)/'(검증1)이상치 검정'!$F$8)</f>
        <v>0.1589882652653889</v>
      </c>
      <c r="H11" s="14" t="str">
        <f>IF(G11&gt;'(검증1)이상치 검정'!$G$8,"Alert","")</f>
        <v/>
      </c>
    </row>
    <row r="12" spans="1:8">
      <c r="A12" s="2" t="s">
        <v>9</v>
      </c>
      <c r="B12" s="2">
        <v>11</v>
      </c>
      <c r="C12" s="2" t="s">
        <v>117</v>
      </c>
      <c r="D12" s="3">
        <v>39.9</v>
      </c>
      <c r="E12" s="11">
        <v>44423.177129629628</v>
      </c>
      <c r="G12" s="6">
        <f>ABS((D12-'(검증1)이상치 검정'!$E$8)/'(검증1)이상치 검정'!$F$8)</f>
        <v>0.1589882652653889</v>
      </c>
      <c r="H12" s="14" t="str">
        <f>IF(G12&gt;'(검증1)이상치 검정'!$G$8,"Alert","")</f>
        <v/>
      </c>
    </row>
    <row r="13" spans="1:8">
      <c r="A13" s="2" t="s">
        <v>9</v>
      </c>
      <c r="B13" s="2">
        <v>12</v>
      </c>
      <c r="C13" s="2" t="s">
        <v>118</v>
      </c>
      <c r="D13" s="3">
        <v>39.9</v>
      </c>
      <c r="E13" s="11">
        <v>44423.177824074075</v>
      </c>
      <c r="G13" s="6">
        <f>ABS((D13-'(검증1)이상치 검정'!$E$8)/'(검증1)이상치 검정'!$F$8)</f>
        <v>0.1589882652653889</v>
      </c>
      <c r="H13" s="14" t="str">
        <f>IF(G13&gt;'(검증1)이상치 검정'!$G$8,"Alert","")</f>
        <v/>
      </c>
    </row>
    <row r="14" spans="1:8">
      <c r="A14" s="2" t="s">
        <v>9</v>
      </c>
      <c r="B14" s="2">
        <v>13</v>
      </c>
      <c r="C14" s="2" t="s">
        <v>119</v>
      </c>
      <c r="D14" s="3">
        <v>39.9</v>
      </c>
      <c r="E14" s="11">
        <v>44423.178518518522</v>
      </c>
      <c r="G14" s="6">
        <f>ABS((D14-'(검증1)이상치 검정'!$E$8)/'(검증1)이상치 검정'!$F$8)</f>
        <v>0.1589882652653889</v>
      </c>
      <c r="H14" s="14" t="str">
        <f>IF(G14&gt;'(검증1)이상치 검정'!$G$8,"Alert","")</f>
        <v/>
      </c>
    </row>
    <row r="15" spans="1:8">
      <c r="A15" s="2" t="s">
        <v>9</v>
      </c>
      <c r="B15" s="2">
        <v>14</v>
      </c>
      <c r="C15" s="2" t="s">
        <v>120</v>
      </c>
      <c r="D15" s="3">
        <v>39.799999999999997</v>
      </c>
      <c r="E15" s="11">
        <v>44423.179212962961</v>
      </c>
      <c r="G15" s="6">
        <f>ABS((D15-'(검증1)이상치 검정'!$E$8)/'(검증1)이상치 검정'!$F$8)</f>
        <v>0.50985891964406216</v>
      </c>
      <c r="H15" s="14" t="str">
        <f>IF(G15&gt;'(검증1)이상치 검정'!$G$8,"Alert","")</f>
        <v/>
      </c>
    </row>
    <row r="16" spans="1:8">
      <c r="A16" s="2" t="s">
        <v>9</v>
      </c>
      <c r="B16" s="2">
        <v>15</v>
      </c>
      <c r="C16" s="2" t="s">
        <v>121</v>
      </c>
      <c r="D16" s="3">
        <v>39.700000000000003</v>
      </c>
      <c r="E16" s="11">
        <v>44423.179907407408</v>
      </c>
      <c r="G16" s="6">
        <f>ABS((D16-'(검증1)이상치 검정'!$E$8)/'(검증1)이상치 검정'!$F$8)</f>
        <v>0.86072957402271044</v>
      </c>
      <c r="H16" s="14" t="str">
        <f>IF(G16&gt;'(검증1)이상치 검정'!$G$8,"Alert","")</f>
        <v/>
      </c>
    </row>
    <row r="17" spans="1:8">
      <c r="A17" s="2" t="s">
        <v>9</v>
      </c>
      <c r="B17" s="2">
        <v>16</v>
      </c>
      <c r="C17" s="2" t="s">
        <v>122</v>
      </c>
      <c r="D17" s="3">
        <v>39.6</v>
      </c>
      <c r="E17" s="11">
        <v>44423.180601851855</v>
      </c>
      <c r="G17" s="6">
        <f>ABS((D17-'(검증1)이상치 검정'!$E$8)/'(검증1)이상치 검정'!$F$8)</f>
        <v>1.2116002284013836</v>
      </c>
      <c r="H17" s="14" t="str">
        <f>IF(G17&gt;'(검증1)이상치 검정'!$G$8,"Alert","")</f>
        <v/>
      </c>
    </row>
    <row r="18" spans="1:8">
      <c r="A18" s="2" t="s">
        <v>9</v>
      </c>
      <c r="B18" s="2">
        <v>17</v>
      </c>
      <c r="C18" s="2" t="s">
        <v>123</v>
      </c>
      <c r="D18" s="3">
        <v>39.6</v>
      </c>
      <c r="E18" s="11">
        <v>44423.181296296294</v>
      </c>
      <c r="G18" s="6">
        <f>ABS((D18-'(검증1)이상치 검정'!$E$8)/'(검증1)이상치 검정'!$F$8)</f>
        <v>1.2116002284013836</v>
      </c>
      <c r="H18" s="14" t="str">
        <f>IF(G18&gt;'(검증1)이상치 검정'!$G$8,"Alert","")</f>
        <v/>
      </c>
    </row>
    <row r="19" spans="1:8">
      <c r="A19" s="2" t="s">
        <v>9</v>
      </c>
      <c r="B19" s="2">
        <v>18</v>
      </c>
      <c r="C19" s="2" t="s">
        <v>124</v>
      </c>
      <c r="D19" s="3">
        <v>39.6</v>
      </c>
      <c r="E19" s="11">
        <v>44423.181990740741</v>
      </c>
      <c r="G19" s="6">
        <f>ABS((D19-'(검증1)이상치 검정'!$E$8)/'(검증1)이상치 검정'!$F$8)</f>
        <v>1.2116002284013836</v>
      </c>
      <c r="H19" s="14" t="str">
        <f>IF(G19&gt;'(검증1)이상치 검정'!$G$8,"Alert","")</f>
        <v/>
      </c>
    </row>
    <row r="20" spans="1:8">
      <c r="A20" s="2" t="s">
        <v>9</v>
      </c>
      <c r="B20" s="2">
        <v>19</v>
      </c>
      <c r="C20" s="2" t="s">
        <v>125</v>
      </c>
      <c r="D20" s="3">
        <v>39.6</v>
      </c>
      <c r="E20" s="11">
        <v>44423.182685185187</v>
      </c>
      <c r="G20" s="6">
        <f>ABS((D20-'(검증1)이상치 검정'!$E$8)/'(검증1)이상치 검정'!$F$8)</f>
        <v>1.2116002284013836</v>
      </c>
      <c r="H20" s="14" t="str">
        <f>IF(G20&gt;'(검증1)이상치 검정'!$G$8,"Alert","")</f>
        <v/>
      </c>
    </row>
    <row r="21" spans="1:8">
      <c r="A21" s="2" t="s">
        <v>9</v>
      </c>
      <c r="B21" s="2">
        <v>20</v>
      </c>
      <c r="C21" s="2" t="s">
        <v>126</v>
      </c>
      <c r="D21" s="3">
        <v>39.6</v>
      </c>
      <c r="E21" s="11">
        <v>44423.183379629627</v>
      </c>
      <c r="G21" s="6">
        <f>ABS((D21-'(검증1)이상치 검정'!$E$8)/'(검증1)이상치 검정'!$F$8)</f>
        <v>1.2116002284013836</v>
      </c>
      <c r="H21" s="14" t="str">
        <f>IF(G21&gt;'(검증1)이상치 검정'!$G$8,"Alert","")</f>
        <v/>
      </c>
    </row>
    <row r="22" spans="1:8">
      <c r="A22" s="2" t="s">
        <v>9</v>
      </c>
      <c r="B22" s="2">
        <v>21</v>
      </c>
      <c r="C22" s="2" t="s">
        <v>127</v>
      </c>
      <c r="D22" s="3">
        <v>39.6</v>
      </c>
      <c r="E22" s="11">
        <v>44423.184074074074</v>
      </c>
      <c r="G22" s="6">
        <f>ABS((D22-'(검증1)이상치 검정'!$E$8)/'(검증1)이상치 검정'!$F$8)</f>
        <v>1.2116002284013836</v>
      </c>
      <c r="H22" s="14" t="str">
        <f>IF(G22&gt;'(검증1)이상치 검정'!$G$8,"Alert","")</f>
        <v/>
      </c>
    </row>
    <row r="23" spans="1:8">
      <c r="A23" s="2" t="s">
        <v>9</v>
      </c>
      <c r="B23" s="2">
        <v>22</v>
      </c>
      <c r="C23" s="2" t="s">
        <v>128</v>
      </c>
      <c r="D23" s="3">
        <v>39.6</v>
      </c>
      <c r="E23" s="11">
        <v>44423.18476851852</v>
      </c>
      <c r="G23" s="6">
        <f>ABS((D23-'(검증1)이상치 검정'!$E$8)/'(검증1)이상치 검정'!$F$8)</f>
        <v>1.2116002284013836</v>
      </c>
      <c r="H23" s="14" t="str">
        <f>IF(G23&gt;'(검증1)이상치 검정'!$G$8,"Alert","")</f>
        <v/>
      </c>
    </row>
    <row r="24" spans="1:8">
      <c r="A24" s="2" t="s">
        <v>9</v>
      </c>
      <c r="B24" s="2">
        <v>23</v>
      </c>
      <c r="C24" s="2" t="s">
        <v>129</v>
      </c>
      <c r="D24" s="3">
        <v>39.6</v>
      </c>
      <c r="E24" s="11">
        <v>44423.18546296296</v>
      </c>
      <c r="G24" s="6">
        <f>ABS((D24-'(검증1)이상치 검정'!$E$8)/'(검증1)이상치 검정'!$F$8)</f>
        <v>1.2116002284013836</v>
      </c>
      <c r="H24" s="14" t="str">
        <f>IF(G24&gt;'(검증1)이상치 검정'!$G$8,"Alert","")</f>
        <v/>
      </c>
    </row>
    <row r="25" spans="1:8">
      <c r="A25" s="2" t="s">
        <v>9</v>
      </c>
      <c r="B25" s="2">
        <v>24</v>
      </c>
      <c r="C25" s="2" t="s">
        <v>130</v>
      </c>
      <c r="D25" s="3">
        <v>39.6</v>
      </c>
      <c r="E25" s="11">
        <v>44423.186157407406</v>
      </c>
      <c r="G25" s="6">
        <f>ABS((D25-'(검증1)이상치 검정'!$E$8)/'(검증1)이상치 검정'!$F$8)</f>
        <v>1.2116002284013836</v>
      </c>
      <c r="H25" s="14" t="str">
        <f>IF(G25&gt;'(검증1)이상치 검정'!$G$8,"Alert","")</f>
        <v/>
      </c>
    </row>
    <row r="26" spans="1:8">
      <c r="A26" s="2" t="s">
        <v>9</v>
      </c>
      <c r="B26" s="2">
        <v>25</v>
      </c>
      <c r="C26" s="2" t="s">
        <v>131</v>
      </c>
      <c r="D26" s="3">
        <v>39.5</v>
      </c>
      <c r="E26" s="11">
        <v>44423.186851851853</v>
      </c>
      <c r="G26" s="6">
        <f>ABS((D26-'(검증1)이상치 검정'!$E$8)/'(검증1)이상치 검정'!$F$8)</f>
        <v>1.5624708827800569</v>
      </c>
      <c r="H26" s="14" t="str">
        <f>IF(G26&gt;'(검증1)이상치 검정'!$G$8,"Alert","")</f>
        <v/>
      </c>
    </row>
    <row r="27" spans="1:8">
      <c r="A27" s="2" t="s">
        <v>9</v>
      </c>
      <c r="B27" s="2">
        <v>26</v>
      </c>
      <c r="C27" s="2" t="s">
        <v>132</v>
      </c>
      <c r="D27" s="3">
        <v>39.5</v>
      </c>
      <c r="E27" s="11">
        <v>44423.1875462963</v>
      </c>
      <c r="G27" s="6">
        <f>ABS((D27-'(검증1)이상치 검정'!$E$8)/'(검증1)이상치 검정'!$F$8)</f>
        <v>1.5624708827800569</v>
      </c>
      <c r="H27" s="14" t="str">
        <f>IF(G27&gt;'(검증1)이상치 검정'!$G$8,"Alert","")</f>
        <v/>
      </c>
    </row>
    <row r="28" spans="1:8">
      <c r="A28" s="2" t="s">
        <v>9</v>
      </c>
      <c r="B28" s="2">
        <v>27</v>
      </c>
      <c r="C28" s="2" t="s">
        <v>133</v>
      </c>
      <c r="D28" s="3">
        <v>39.5</v>
      </c>
      <c r="E28" s="11">
        <v>44423.188240740739</v>
      </c>
      <c r="G28" s="6">
        <f>ABS((D28-'(검증1)이상치 검정'!$E$8)/'(검증1)이상치 검정'!$F$8)</f>
        <v>1.5624708827800569</v>
      </c>
      <c r="H28" s="14" t="str">
        <f>IF(G28&gt;'(검증1)이상치 검정'!$G$8,"Alert","")</f>
        <v/>
      </c>
    </row>
    <row r="29" spans="1:8">
      <c r="A29" s="2" t="s">
        <v>9</v>
      </c>
      <c r="B29" s="2">
        <v>28</v>
      </c>
      <c r="C29" s="2" t="s">
        <v>134</v>
      </c>
      <c r="D29" s="3">
        <v>39.700000000000003</v>
      </c>
      <c r="E29" s="11">
        <v>44423.188935185186</v>
      </c>
      <c r="G29" s="6">
        <f>ABS((D29-'(검증1)이상치 검정'!$E$8)/'(검증1)이상치 검정'!$F$8)</f>
        <v>0.86072957402271044</v>
      </c>
      <c r="H29" s="14" t="str">
        <f>IF(G29&gt;'(검증1)이상치 검정'!$G$8,"Alert","")</f>
        <v/>
      </c>
    </row>
    <row r="30" spans="1:8">
      <c r="A30" s="2" t="s">
        <v>9</v>
      </c>
      <c r="B30" s="2">
        <v>29</v>
      </c>
      <c r="C30" s="2" t="s">
        <v>135</v>
      </c>
      <c r="D30" s="3">
        <v>39.799999999999997</v>
      </c>
      <c r="E30" s="11">
        <v>44423.189629629633</v>
      </c>
      <c r="G30" s="6">
        <f>ABS((D30-'(검증1)이상치 검정'!$E$8)/'(검증1)이상치 검정'!$F$8)</f>
        <v>0.50985891964406216</v>
      </c>
      <c r="H30" s="14" t="str">
        <f>IF(G30&gt;'(검증1)이상치 검정'!$G$8,"Alert","")</f>
        <v/>
      </c>
    </row>
    <row r="31" spans="1:8">
      <c r="A31" s="2" t="s">
        <v>9</v>
      </c>
      <c r="B31" s="2">
        <v>30</v>
      </c>
      <c r="C31" s="2" t="s">
        <v>136</v>
      </c>
      <c r="D31" s="3">
        <v>39.9</v>
      </c>
      <c r="E31" s="11">
        <v>44423.190324074072</v>
      </c>
      <c r="G31" s="6">
        <f>ABS((D31-'(검증1)이상치 검정'!$E$8)/'(검증1)이상치 검정'!$F$8)</f>
        <v>0.1589882652653889</v>
      </c>
      <c r="H31" s="14" t="str">
        <f>IF(G31&gt;'(검증1)이상치 검정'!$G$8,"Alert","")</f>
        <v/>
      </c>
    </row>
    <row r="32" spans="1:8">
      <c r="A32" s="2" t="s">
        <v>9</v>
      </c>
      <c r="B32" s="2">
        <v>31</v>
      </c>
      <c r="C32" s="2" t="s">
        <v>137</v>
      </c>
      <c r="D32" s="3">
        <v>39.799999999999997</v>
      </c>
      <c r="E32" s="11">
        <v>44423.191018518519</v>
      </c>
      <c r="G32" s="6">
        <f>ABS((D32-'(검증1)이상치 검정'!$E$8)/'(검증1)이상치 검정'!$F$8)</f>
        <v>0.50985891964406216</v>
      </c>
      <c r="H32" s="14" t="str">
        <f>IF(G32&gt;'(검증1)이상치 검정'!$G$8,"Alert","")</f>
        <v/>
      </c>
    </row>
    <row r="33" spans="1:8">
      <c r="A33" s="2" t="s">
        <v>9</v>
      </c>
      <c r="B33" s="2">
        <v>32</v>
      </c>
      <c r="C33" s="2" t="s">
        <v>138</v>
      </c>
      <c r="D33" s="3">
        <v>39.799999999999997</v>
      </c>
      <c r="E33" s="11">
        <v>44423.191712962966</v>
      </c>
      <c r="G33" s="6">
        <f>ABS((D33-'(검증1)이상치 검정'!$E$8)/'(검증1)이상치 검정'!$F$8)</f>
        <v>0.50985891964406216</v>
      </c>
      <c r="H33" s="14" t="str">
        <f>IF(G33&gt;'(검증1)이상치 검정'!$G$8,"Alert","")</f>
        <v/>
      </c>
    </row>
    <row r="34" spans="1:8">
      <c r="A34" s="2" t="s">
        <v>9</v>
      </c>
      <c r="B34" s="2">
        <v>33</v>
      </c>
      <c r="C34" s="2" t="s">
        <v>139</v>
      </c>
      <c r="D34" s="3">
        <v>39.9</v>
      </c>
      <c r="E34" s="11">
        <v>44423.192407407405</v>
      </c>
      <c r="G34" s="6">
        <f>ABS((D34-'(검증1)이상치 검정'!$E$8)/'(검증1)이상치 검정'!$F$8)</f>
        <v>0.1589882652653889</v>
      </c>
      <c r="H34" s="14" t="str">
        <f>IF(G34&gt;'(검증1)이상치 검정'!$G$8,"Alert","")</f>
        <v/>
      </c>
    </row>
    <row r="35" spans="1:8">
      <c r="A35" s="2" t="s">
        <v>9</v>
      </c>
      <c r="B35" s="2">
        <v>34</v>
      </c>
      <c r="C35" s="2" t="s">
        <v>140</v>
      </c>
      <c r="D35" s="3">
        <v>39.799999999999997</v>
      </c>
      <c r="E35" s="11">
        <v>44423.193101851852</v>
      </c>
      <c r="G35" s="6">
        <f>ABS((D35-'(검증1)이상치 검정'!$E$8)/'(검증1)이상치 검정'!$F$8)</f>
        <v>0.50985891964406216</v>
      </c>
      <c r="H35" s="14" t="str">
        <f>IF(G35&gt;'(검증1)이상치 검정'!$G$8,"Alert","")</f>
        <v/>
      </c>
    </row>
    <row r="36" spans="1:8">
      <c r="A36" s="2" t="s">
        <v>9</v>
      </c>
      <c r="B36" s="2">
        <v>35</v>
      </c>
      <c r="C36" s="2" t="s">
        <v>141</v>
      </c>
      <c r="D36" s="3">
        <v>39.700000000000003</v>
      </c>
      <c r="E36" s="11">
        <v>44423.193796296298</v>
      </c>
      <c r="G36" s="6">
        <f>ABS((D36-'(검증1)이상치 검정'!$E$8)/'(검증1)이상치 검정'!$F$8)</f>
        <v>0.86072957402271044</v>
      </c>
      <c r="H36" s="14" t="str">
        <f>IF(G36&gt;'(검증1)이상치 검정'!$G$8,"Alert","")</f>
        <v/>
      </c>
    </row>
    <row r="37" spans="1:8">
      <c r="A37" s="2" t="s">
        <v>9</v>
      </c>
      <c r="B37" s="2">
        <v>36</v>
      </c>
      <c r="C37" s="2" t="s">
        <v>142</v>
      </c>
      <c r="D37" s="3">
        <v>39.700000000000003</v>
      </c>
      <c r="E37" s="11">
        <v>44423.194490740738</v>
      </c>
      <c r="G37" s="6">
        <f>ABS((D37-'(검증1)이상치 검정'!$E$8)/'(검증1)이상치 검정'!$F$8)</f>
        <v>0.86072957402271044</v>
      </c>
      <c r="H37" s="14" t="str">
        <f>IF(G37&gt;'(검증1)이상치 검정'!$G$8,"Alert","")</f>
        <v/>
      </c>
    </row>
    <row r="38" spans="1:8">
      <c r="A38" s="2" t="s">
        <v>9</v>
      </c>
      <c r="B38" s="2">
        <v>37</v>
      </c>
      <c r="C38" s="2" t="s">
        <v>143</v>
      </c>
      <c r="D38" s="3">
        <v>39.700000000000003</v>
      </c>
      <c r="E38" s="11">
        <v>44423.195185185185</v>
      </c>
      <c r="G38" s="6">
        <f>ABS((D38-'(검증1)이상치 검정'!$E$8)/'(검증1)이상치 검정'!$F$8)</f>
        <v>0.86072957402271044</v>
      </c>
      <c r="H38" s="14" t="str">
        <f>IF(G38&gt;'(검증1)이상치 검정'!$G$8,"Alert","")</f>
        <v/>
      </c>
    </row>
    <row r="39" spans="1:8">
      <c r="A39" s="2" t="s">
        <v>9</v>
      </c>
      <c r="B39" s="2">
        <v>38</v>
      </c>
      <c r="C39" s="2" t="s">
        <v>144</v>
      </c>
      <c r="D39" s="3">
        <v>39.799999999999997</v>
      </c>
      <c r="E39" s="11">
        <v>44423.195879629631</v>
      </c>
      <c r="G39" s="6">
        <f>ABS((D39-'(검증1)이상치 검정'!$E$8)/'(검증1)이상치 검정'!$F$8)</f>
        <v>0.50985891964406216</v>
      </c>
      <c r="H39" s="14" t="str">
        <f>IF(G39&gt;'(검증1)이상치 검정'!$G$8,"Alert","")</f>
        <v/>
      </c>
    </row>
    <row r="40" spans="1:8">
      <c r="A40" s="2" t="s">
        <v>9</v>
      </c>
      <c r="B40" s="2">
        <v>39</v>
      </c>
      <c r="C40" s="2" t="s">
        <v>145</v>
      </c>
      <c r="D40" s="3">
        <v>40</v>
      </c>
      <c r="E40" s="11">
        <v>44423.196574074071</v>
      </c>
      <c r="G40" s="6">
        <f>ABS((D40-'(검증1)이상치 검정'!$E$8)/'(검증1)이상치 검정'!$F$8)</f>
        <v>0.19188238911328434</v>
      </c>
      <c r="H40" s="14" t="str">
        <f>IF(G40&gt;'(검증1)이상치 검정'!$G$8,"Alert","")</f>
        <v/>
      </c>
    </row>
    <row r="41" spans="1:8">
      <c r="A41" s="2" t="s">
        <v>9</v>
      </c>
      <c r="B41" s="2">
        <v>40</v>
      </c>
      <c r="C41" s="2" t="s">
        <v>146</v>
      </c>
      <c r="D41" s="3">
        <v>40.200000000000003</v>
      </c>
      <c r="E41" s="11">
        <v>44423.197268518517</v>
      </c>
      <c r="G41" s="6">
        <f>ABS((D41-'(검증1)이상치 검정'!$E$8)/'(검증1)이상치 검정'!$F$8)</f>
        <v>0.89362369787063078</v>
      </c>
      <c r="H41" s="14" t="str">
        <f>IF(G41&gt;'(검증1)이상치 검정'!$G$8,"Alert","")</f>
        <v/>
      </c>
    </row>
    <row r="42" spans="1:8">
      <c r="A42" s="2" t="s">
        <v>9</v>
      </c>
      <c r="B42" s="2">
        <v>41</v>
      </c>
      <c r="C42" s="2" t="s">
        <v>147</v>
      </c>
      <c r="D42" s="3">
        <v>40.299999999999997</v>
      </c>
      <c r="E42" s="11">
        <v>44423.197962962964</v>
      </c>
      <c r="G42" s="6">
        <f>ABS((D42-'(검증1)이상치 검정'!$E$8)/'(검증1)이상치 검정'!$F$8)</f>
        <v>1.2444943522492791</v>
      </c>
      <c r="H42" s="14" t="str">
        <f>IF(G42&gt;'(검증1)이상치 검정'!$G$8,"Alert","")</f>
        <v/>
      </c>
    </row>
    <row r="43" spans="1:8">
      <c r="A43" s="2" t="s">
        <v>9</v>
      </c>
      <c r="B43" s="2">
        <v>42</v>
      </c>
      <c r="C43" s="2" t="s">
        <v>148</v>
      </c>
      <c r="D43" s="3">
        <v>40.4</v>
      </c>
      <c r="E43" s="11">
        <v>44423.198657407411</v>
      </c>
      <c r="G43" s="6">
        <f>ABS((D43-'(검증1)이상치 검정'!$E$8)/'(검증1)이상치 검정'!$F$8)</f>
        <v>1.5953650066279523</v>
      </c>
      <c r="H43" s="14" t="str">
        <f>IF(G43&gt;'(검증1)이상치 검정'!$G$8,"Alert","")</f>
        <v/>
      </c>
    </row>
    <row r="44" spans="1:8">
      <c r="A44" s="2" t="s">
        <v>9</v>
      </c>
      <c r="B44" s="2">
        <v>43</v>
      </c>
      <c r="C44" s="2" t="s">
        <v>149</v>
      </c>
      <c r="D44" s="3">
        <v>40.299999999999997</v>
      </c>
      <c r="E44" s="11">
        <v>44423.19935185185</v>
      </c>
      <c r="G44" s="6">
        <f>ABS((D44-'(검증1)이상치 검정'!$E$8)/'(검증1)이상치 검정'!$F$8)</f>
        <v>1.2444943522492791</v>
      </c>
      <c r="H44" s="14" t="str">
        <f>IF(G44&gt;'(검증1)이상치 검정'!$G$8,"Alert","")</f>
        <v/>
      </c>
    </row>
    <row r="45" spans="1:8">
      <c r="A45" s="2" t="s">
        <v>9</v>
      </c>
      <c r="B45" s="2">
        <v>44</v>
      </c>
      <c r="C45" s="2" t="s">
        <v>150</v>
      </c>
      <c r="D45" s="3">
        <v>40.299999999999997</v>
      </c>
      <c r="E45" s="11">
        <v>44423.200046296297</v>
      </c>
      <c r="G45" s="6">
        <f>ABS((D45-'(검증1)이상치 검정'!$E$8)/'(검증1)이상치 검정'!$F$8)</f>
        <v>1.2444943522492791</v>
      </c>
      <c r="H45" s="14" t="str">
        <f>IF(G45&gt;'(검증1)이상치 검정'!$G$8,"Alert","")</f>
        <v/>
      </c>
    </row>
    <row r="46" spans="1:8">
      <c r="A46" s="2" t="s">
        <v>9</v>
      </c>
      <c r="B46" s="2">
        <v>45</v>
      </c>
      <c r="C46" s="2" t="s">
        <v>151</v>
      </c>
      <c r="D46" s="3">
        <v>40.5</v>
      </c>
      <c r="E46" s="11">
        <v>44423.200740740744</v>
      </c>
      <c r="G46" s="6">
        <f>ABS((D46-'(검증1)이상치 검정'!$E$8)/'(검증1)이상치 검정'!$F$8)</f>
        <v>1.9462356610066256</v>
      </c>
      <c r="H46" s="14" t="str">
        <f>IF(G46&gt;'(검증1)이상치 검정'!$G$8,"Alert","")</f>
        <v>Alert</v>
      </c>
    </row>
    <row r="47" spans="1:8">
      <c r="A47" s="2" t="s">
        <v>9</v>
      </c>
      <c r="B47" s="2">
        <v>46</v>
      </c>
      <c r="C47" s="2" t="s">
        <v>152</v>
      </c>
      <c r="D47" s="3">
        <v>40.5</v>
      </c>
      <c r="E47" s="11">
        <v>44423.201435185183</v>
      </c>
      <c r="G47" s="6">
        <f>ABS((D47-'(검증1)이상치 검정'!$E$8)/'(검증1)이상치 검정'!$F$8)</f>
        <v>1.9462356610066256</v>
      </c>
      <c r="H47" s="14" t="str">
        <f>IF(G47&gt;'(검증1)이상치 검정'!$G$8,"Alert","")</f>
        <v>Alert</v>
      </c>
    </row>
    <row r="48" spans="1:8">
      <c r="A48" s="2" t="s">
        <v>9</v>
      </c>
      <c r="B48" s="2">
        <v>47</v>
      </c>
      <c r="C48" s="2" t="s">
        <v>153</v>
      </c>
      <c r="D48" s="3">
        <v>40.5</v>
      </c>
      <c r="E48" s="11">
        <v>44423.20212962963</v>
      </c>
      <c r="G48" s="6">
        <f>ABS((D48-'(검증1)이상치 검정'!$E$8)/'(검증1)이상치 검정'!$F$8)</f>
        <v>1.9462356610066256</v>
      </c>
      <c r="H48" s="14" t="str">
        <f>IF(G48&gt;'(검증1)이상치 검정'!$G$8,"Alert","")</f>
        <v>Alert</v>
      </c>
    </row>
    <row r="49" spans="1:8">
      <c r="A49" s="2" t="s">
        <v>9</v>
      </c>
      <c r="B49" s="2">
        <v>48</v>
      </c>
      <c r="C49" s="2" t="s">
        <v>154</v>
      </c>
      <c r="D49" s="3">
        <v>40.5</v>
      </c>
      <c r="E49" s="11">
        <v>44423.202824074076</v>
      </c>
      <c r="G49" s="6">
        <f>ABS((D49-'(검증1)이상치 검정'!$E$8)/'(검증1)이상치 검정'!$F$8)</f>
        <v>1.9462356610066256</v>
      </c>
      <c r="H49" s="14" t="str">
        <f>IF(G49&gt;'(검증1)이상치 검정'!$G$8,"Alert","")</f>
        <v>Alert</v>
      </c>
    </row>
    <row r="50" spans="1:8">
      <c r="A50" s="2" t="s">
        <v>9</v>
      </c>
      <c r="B50" s="2">
        <v>49</v>
      </c>
      <c r="C50" s="2" t="s">
        <v>155</v>
      </c>
      <c r="D50" s="3">
        <v>40.5</v>
      </c>
      <c r="E50" s="11">
        <v>44423.203518518516</v>
      </c>
      <c r="G50" s="6">
        <f>ABS((D50-'(검증1)이상치 검정'!$E$8)/'(검증1)이상치 검정'!$F$8)</f>
        <v>1.9462356610066256</v>
      </c>
      <c r="H50" s="14" t="str">
        <f>IF(G50&gt;'(검증1)이상치 검정'!$G$8,"Alert","")</f>
        <v>Alert</v>
      </c>
    </row>
    <row r="51" spans="1:8">
      <c r="A51" s="2" t="s">
        <v>9</v>
      </c>
      <c r="B51" s="2">
        <v>50</v>
      </c>
      <c r="C51" s="2" t="s">
        <v>156</v>
      </c>
      <c r="D51" s="3">
        <v>40.5</v>
      </c>
      <c r="E51" s="11">
        <v>44423.204212962963</v>
      </c>
      <c r="G51" s="6">
        <f>ABS((D51-'(검증1)이상치 검정'!$E$8)/'(검증1)이상치 검정'!$F$8)</f>
        <v>1.9462356610066256</v>
      </c>
      <c r="H51" s="14" t="str">
        <f>IF(G51&gt;'(검증1)이상치 검정'!$G$8,"Alert","")</f>
        <v>Alert</v>
      </c>
    </row>
    <row r="52" spans="1:8">
      <c r="A52" s="2" t="s">
        <v>9</v>
      </c>
      <c r="B52" s="2">
        <v>51</v>
      </c>
      <c r="C52" s="2" t="s">
        <v>157</v>
      </c>
      <c r="D52" s="3">
        <v>40.299999999999997</v>
      </c>
      <c r="E52" s="11">
        <v>44423.204907407409</v>
      </c>
      <c r="G52" s="6">
        <f>ABS((D52-'(검증1)이상치 검정'!$E$8)/'(검증1)이상치 검정'!$F$8)</f>
        <v>1.2444943522492791</v>
      </c>
      <c r="H52" s="14" t="str">
        <f>IF(G52&gt;'(검증1)이상치 검정'!$G$8,"Alert","")</f>
        <v/>
      </c>
    </row>
    <row r="53" spans="1:8">
      <c r="A53" s="2" t="s">
        <v>9</v>
      </c>
      <c r="B53" s="2">
        <v>52</v>
      </c>
      <c r="C53" s="2" t="s">
        <v>158</v>
      </c>
      <c r="D53" s="3">
        <v>40.200000000000003</v>
      </c>
      <c r="E53" s="11">
        <v>44423.205601851849</v>
      </c>
      <c r="G53" s="6">
        <f>ABS((D53-'(검증1)이상치 검정'!$E$8)/'(검증1)이상치 검정'!$F$8)</f>
        <v>0.89362369787063078</v>
      </c>
      <c r="H53" s="14" t="str">
        <f>IF(G53&gt;'(검증1)이상치 검정'!$G$8,"Alert","")</f>
        <v/>
      </c>
    </row>
    <row r="54" spans="1:8">
      <c r="A54" s="2" t="s">
        <v>9</v>
      </c>
      <c r="B54" s="2">
        <v>53</v>
      </c>
      <c r="C54" s="2" t="s">
        <v>159</v>
      </c>
      <c r="D54" s="3">
        <v>40.1</v>
      </c>
      <c r="E54" s="11">
        <v>44423.206296296295</v>
      </c>
      <c r="G54" s="6">
        <f>ABS((D54-'(검증1)이상치 검정'!$E$8)/'(검증1)이상치 검정'!$F$8)</f>
        <v>0.54275304349195763</v>
      </c>
      <c r="H54" s="14" t="str">
        <f>IF(G54&gt;'(검증1)이상치 검정'!$G$8,"Alert","")</f>
        <v/>
      </c>
    </row>
    <row r="55" spans="1:8">
      <c r="A55" s="2" t="s">
        <v>9</v>
      </c>
      <c r="B55" s="2">
        <v>54</v>
      </c>
      <c r="C55" s="2" t="s">
        <v>160</v>
      </c>
      <c r="D55" s="3">
        <v>40</v>
      </c>
      <c r="E55" s="11">
        <v>44423.206990740742</v>
      </c>
      <c r="G55" s="6">
        <f>ABS((D55-'(검증1)이상치 검정'!$E$8)/'(검증1)이상치 검정'!$F$8)</f>
        <v>0.19188238911328434</v>
      </c>
      <c r="H55" s="14" t="str">
        <f>IF(G55&gt;'(검증1)이상치 검정'!$G$8,"Alert","")</f>
        <v/>
      </c>
    </row>
    <row r="56" spans="1:8">
      <c r="A56" s="2" t="s">
        <v>9</v>
      </c>
      <c r="B56" s="2">
        <v>55</v>
      </c>
      <c r="C56" s="2" t="s">
        <v>161</v>
      </c>
      <c r="D56" s="3">
        <v>40</v>
      </c>
      <c r="E56" s="11">
        <v>44423.207685185182</v>
      </c>
      <c r="G56" s="6">
        <f>ABS((D56-'(검증1)이상치 검정'!$E$8)/'(검증1)이상치 검정'!$F$8)</f>
        <v>0.19188238911328434</v>
      </c>
      <c r="H56" s="14" t="str">
        <f>IF(G56&gt;'(검증1)이상치 검정'!$G$8,"Alert","")</f>
        <v/>
      </c>
    </row>
    <row r="57" spans="1:8">
      <c r="A57" s="2" t="s">
        <v>9</v>
      </c>
      <c r="B57" s="2">
        <v>56</v>
      </c>
      <c r="C57" s="2" t="s">
        <v>162</v>
      </c>
      <c r="D57" s="3">
        <v>39.9</v>
      </c>
      <c r="E57" s="11">
        <v>44423.208379629628</v>
      </c>
      <c r="G57" s="6">
        <f>ABS((D57-'(검증1)이상치 검정'!$E$8)/'(검증1)이상치 검정'!$F$8)</f>
        <v>0.1589882652653889</v>
      </c>
      <c r="H57" s="14" t="str">
        <f>IF(G57&gt;'(검증1)이상치 검정'!$G$8,"Alert","")</f>
        <v/>
      </c>
    </row>
    <row r="58" spans="1:8">
      <c r="A58" s="2" t="s">
        <v>9</v>
      </c>
      <c r="B58" s="2">
        <v>57</v>
      </c>
      <c r="C58" s="2" t="s">
        <v>163</v>
      </c>
      <c r="D58" s="3">
        <v>39.799999999999997</v>
      </c>
      <c r="E58" s="11">
        <v>44423.209074074075</v>
      </c>
      <c r="G58" s="6">
        <f>ABS((D58-'(검증1)이상치 검정'!$E$8)/'(검증1)이상치 검정'!$F$8)</f>
        <v>0.50985891964406216</v>
      </c>
      <c r="H58" s="14" t="str">
        <f>IF(G58&gt;'(검증1)이상치 검정'!$G$8,"Alert","")</f>
        <v/>
      </c>
    </row>
    <row r="59" spans="1:8">
      <c r="A59" s="2" t="s">
        <v>9</v>
      </c>
      <c r="B59" s="2">
        <v>58</v>
      </c>
      <c r="C59" s="2" t="s">
        <v>164</v>
      </c>
      <c r="D59" s="3">
        <v>39.799999999999997</v>
      </c>
      <c r="E59" s="11">
        <v>44423.209768518522</v>
      </c>
      <c r="G59" s="6">
        <f>ABS((D59-'(검증1)이상치 검정'!$E$8)/'(검증1)이상치 검정'!$F$8)</f>
        <v>0.50985891964406216</v>
      </c>
      <c r="H59" s="14" t="str">
        <f>IF(G59&gt;'(검증1)이상치 검정'!$G$8,"Alert","")</f>
        <v/>
      </c>
    </row>
    <row r="60" spans="1:8">
      <c r="A60" s="2" t="s">
        <v>9</v>
      </c>
      <c r="B60" s="2">
        <v>59</v>
      </c>
      <c r="C60" s="2" t="s">
        <v>165</v>
      </c>
      <c r="D60" s="3">
        <v>39.799999999999997</v>
      </c>
      <c r="E60" s="11">
        <v>44423.210462962961</v>
      </c>
      <c r="G60" s="6">
        <f>ABS((D60-'(검증1)이상치 검정'!$E$8)/'(검증1)이상치 검정'!$F$8)</f>
        <v>0.50985891964406216</v>
      </c>
      <c r="H60" s="14" t="str">
        <f>IF(G60&gt;'(검증1)이상치 검정'!$G$8,"Alert","")</f>
        <v/>
      </c>
    </row>
    <row r="61" spans="1:8">
      <c r="A61" s="2" t="s">
        <v>9</v>
      </c>
      <c r="B61" s="2">
        <v>60</v>
      </c>
      <c r="C61" s="2" t="s">
        <v>166</v>
      </c>
      <c r="D61" s="3">
        <v>39.9</v>
      </c>
      <c r="E61" s="11">
        <v>44423.211157407408</v>
      </c>
      <c r="G61" s="6">
        <f>ABS((D61-'(검증1)이상치 검정'!$E$8)/'(검증1)이상치 검정'!$F$8)</f>
        <v>0.1589882652653889</v>
      </c>
      <c r="H61" s="14" t="str">
        <f>IF(G61&gt;'(검증1)이상치 검정'!$G$8,"Alert","")</f>
        <v/>
      </c>
    </row>
    <row r="62" spans="1:8">
      <c r="A62" s="2" t="s">
        <v>9</v>
      </c>
      <c r="B62" s="2">
        <v>61</v>
      </c>
      <c r="C62" s="2" t="s">
        <v>167</v>
      </c>
      <c r="D62" s="3">
        <v>39.9</v>
      </c>
      <c r="E62" s="11">
        <v>44423.211851851855</v>
      </c>
      <c r="G62" s="6">
        <f>ABS((D62-'(검증1)이상치 검정'!$E$8)/'(검증1)이상치 검정'!$F$8)</f>
        <v>0.1589882652653889</v>
      </c>
      <c r="H62" s="14" t="str">
        <f>IF(G62&gt;'(검증1)이상치 검정'!$G$8,"Alert","")</f>
        <v/>
      </c>
    </row>
    <row r="63" spans="1:8">
      <c r="A63" s="2" t="s">
        <v>9</v>
      </c>
      <c r="B63" s="2">
        <v>62</v>
      </c>
      <c r="C63" s="2" t="s">
        <v>168</v>
      </c>
      <c r="D63" s="3">
        <v>39.9</v>
      </c>
      <c r="E63" s="11">
        <v>44423.212546296294</v>
      </c>
      <c r="G63" s="6">
        <f>ABS((D63-'(검증1)이상치 검정'!$E$8)/'(검증1)이상치 검정'!$F$8)</f>
        <v>0.1589882652653889</v>
      </c>
      <c r="H63" s="14" t="str">
        <f>IF(G63&gt;'(검증1)이상치 검정'!$G$8,"Alert","")</f>
        <v/>
      </c>
    </row>
    <row r="64" spans="1:8">
      <c r="A64" s="2" t="s">
        <v>9</v>
      </c>
      <c r="B64" s="2">
        <v>63</v>
      </c>
      <c r="C64" s="2" t="s">
        <v>169</v>
      </c>
      <c r="D64" s="3">
        <v>39.9</v>
      </c>
      <c r="E64" s="11">
        <v>44423.213240740741</v>
      </c>
      <c r="G64" s="6">
        <f>ABS((D64-'(검증1)이상치 검정'!$E$8)/'(검증1)이상치 검정'!$F$8)</f>
        <v>0.1589882652653889</v>
      </c>
      <c r="H64" s="14" t="str">
        <f>IF(G64&gt;'(검증1)이상치 검정'!$G$8,"Alert","")</f>
        <v/>
      </c>
    </row>
    <row r="65" spans="1:8">
      <c r="A65" s="2" t="s">
        <v>9</v>
      </c>
      <c r="B65" s="2">
        <v>64</v>
      </c>
      <c r="C65" s="2" t="s">
        <v>170</v>
      </c>
      <c r="D65" s="3">
        <v>39.9</v>
      </c>
      <c r="E65" s="11">
        <v>44423.213935185187</v>
      </c>
      <c r="G65" s="6">
        <f>ABS((D65-'(검증1)이상치 검정'!$E$8)/'(검증1)이상치 검정'!$F$8)</f>
        <v>0.1589882652653889</v>
      </c>
      <c r="H65" s="14" t="str">
        <f>IF(G65&gt;'(검증1)이상치 검정'!$G$8,"Alert","")</f>
        <v/>
      </c>
    </row>
    <row r="66" spans="1:8" s="9" customFormat="1">
      <c r="A66" s="7" t="s">
        <v>12</v>
      </c>
      <c r="B66" s="7">
        <v>1</v>
      </c>
      <c r="C66" s="7" t="s">
        <v>107</v>
      </c>
      <c r="D66" s="8">
        <v>49.9</v>
      </c>
      <c r="E66" s="12">
        <v>44423.17019675926</v>
      </c>
      <c r="G66" s="9">
        <f>ABS((D66-'(검증1)이상치 검정'!$E$9)/'(검증1)이상치 검정'!$F$9)</f>
        <v>0.82199493652675693</v>
      </c>
      <c r="H66" s="15" t="str">
        <f>IF(G66&gt;'(검증1)이상치 검정'!$G$9,"Alert","")</f>
        <v/>
      </c>
    </row>
    <row r="67" spans="1:8" s="9" customFormat="1">
      <c r="A67" s="7" t="s">
        <v>12</v>
      </c>
      <c r="B67" s="7">
        <v>2</v>
      </c>
      <c r="C67" s="7" t="s">
        <v>108</v>
      </c>
      <c r="D67" s="8">
        <v>49.7</v>
      </c>
      <c r="E67" s="12">
        <v>44423.170891203707</v>
      </c>
      <c r="G67" s="9">
        <f>ABS((D67-'(검증1)이상치 검정'!$E$9)/'(검증1)이상치 검정'!$F$9)</f>
        <v>5.4799662435131666E-2</v>
      </c>
      <c r="H67" s="15" t="str">
        <f>IF(G67&gt;'(검증1)이상치 검정'!$G$9,"Alert","")</f>
        <v/>
      </c>
    </row>
    <row r="68" spans="1:8" s="9" customFormat="1">
      <c r="A68" s="7" t="s">
        <v>12</v>
      </c>
      <c r="B68" s="7">
        <v>3</v>
      </c>
      <c r="C68" s="7" t="s">
        <v>109</v>
      </c>
      <c r="D68" s="8">
        <v>49.8</v>
      </c>
      <c r="E68" s="12">
        <v>44423.171585648146</v>
      </c>
      <c r="G68" s="9">
        <f>ABS((D68-'(검증1)이상치 검정'!$E$9)/'(검증1)이상치 검정'!$F$9)</f>
        <v>0.38359763704579708</v>
      </c>
      <c r="H68" s="15" t="str">
        <f>IF(G68&gt;'(검증1)이상치 검정'!$G$9,"Alert","")</f>
        <v/>
      </c>
    </row>
    <row r="69" spans="1:8" s="9" customFormat="1">
      <c r="A69" s="7" t="s">
        <v>12</v>
      </c>
      <c r="B69" s="7">
        <v>4</v>
      </c>
      <c r="C69" s="7" t="s">
        <v>110</v>
      </c>
      <c r="D69" s="8">
        <v>49.9</v>
      </c>
      <c r="E69" s="12">
        <v>44423.172280092593</v>
      </c>
      <c r="G69" s="9">
        <f>ABS((D69-'(검증1)이상치 검정'!$E$9)/'(검증1)이상치 검정'!$F$9)</f>
        <v>0.82199493652675693</v>
      </c>
      <c r="H69" s="15" t="str">
        <f>IF(G69&gt;'(검증1)이상치 검정'!$G$9,"Alert","")</f>
        <v/>
      </c>
    </row>
    <row r="70" spans="1:8" s="9" customFormat="1">
      <c r="A70" s="7" t="s">
        <v>12</v>
      </c>
      <c r="B70" s="7">
        <v>5</v>
      </c>
      <c r="C70" s="7" t="s">
        <v>111</v>
      </c>
      <c r="D70" s="8">
        <v>49.9</v>
      </c>
      <c r="E70" s="12">
        <v>44423.172974537039</v>
      </c>
      <c r="G70" s="9">
        <f>ABS((D70-'(검증1)이상치 검정'!$E$9)/'(검증1)이상치 검정'!$F$9)</f>
        <v>0.82199493652675693</v>
      </c>
      <c r="H70" s="15" t="str">
        <f>IF(G70&gt;'(검증1)이상치 검정'!$G$9,"Alert","")</f>
        <v/>
      </c>
    </row>
    <row r="71" spans="1:8" s="9" customFormat="1">
      <c r="A71" s="7" t="s">
        <v>12</v>
      </c>
      <c r="B71" s="7">
        <v>6</v>
      </c>
      <c r="C71" s="7" t="s">
        <v>112</v>
      </c>
      <c r="D71" s="8">
        <v>49.8</v>
      </c>
      <c r="E71" s="12">
        <v>44423.173668981479</v>
      </c>
      <c r="G71" s="9">
        <f>ABS((D71-'(검증1)이상치 검정'!$E$9)/'(검증1)이상치 검정'!$F$9)</f>
        <v>0.38359763704579708</v>
      </c>
      <c r="H71" s="15" t="str">
        <f>IF(G71&gt;'(검증1)이상치 검정'!$G$9,"Alert","")</f>
        <v/>
      </c>
    </row>
    <row r="72" spans="1:8" s="9" customFormat="1">
      <c r="A72" s="7" t="s">
        <v>12</v>
      </c>
      <c r="B72" s="7">
        <v>7</v>
      </c>
      <c r="C72" s="7" t="s">
        <v>113</v>
      </c>
      <c r="D72" s="8">
        <v>50</v>
      </c>
      <c r="E72" s="12">
        <v>44423.174363425926</v>
      </c>
      <c r="G72" s="9">
        <f>ABS((D72-'(검증1)이상치 검정'!$E$9)/'(검증1)이상치 검정'!$F$9)</f>
        <v>1.2603922360077169</v>
      </c>
      <c r="H72" s="15" t="str">
        <f>IF(G72&gt;'(검증1)이상치 검정'!$G$9,"Alert","")</f>
        <v/>
      </c>
    </row>
    <row r="73" spans="1:8" s="9" customFormat="1">
      <c r="A73" s="7" t="s">
        <v>12</v>
      </c>
      <c r="B73" s="7">
        <v>8</v>
      </c>
      <c r="C73" s="7" t="s">
        <v>114</v>
      </c>
      <c r="D73" s="8">
        <v>49.8</v>
      </c>
      <c r="E73" s="12">
        <v>44423.175057870372</v>
      </c>
      <c r="G73" s="9">
        <f>ABS((D73-'(검증1)이상치 검정'!$E$9)/'(검증1)이상치 검정'!$F$9)</f>
        <v>0.38359763704579708</v>
      </c>
      <c r="H73" s="15" t="str">
        <f>IF(G73&gt;'(검증1)이상치 검정'!$G$9,"Alert","")</f>
        <v/>
      </c>
    </row>
    <row r="74" spans="1:8" s="9" customFormat="1">
      <c r="A74" s="7" t="s">
        <v>12</v>
      </c>
      <c r="B74" s="7">
        <v>9</v>
      </c>
      <c r="C74" s="7" t="s">
        <v>115</v>
      </c>
      <c r="D74" s="8">
        <v>49.7</v>
      </c>
      <c r="E74" s="12">
        <v>44423.175752314812</v>
      </c>
      <c r="G74" s="9">
        <f>ABS((D74-'(검증1)이상치 검정'!$E$9)/'(검증1)이상치 검정'!$F$9)</f>
        <v>5.4799662435131666E-2</v>
      </c>
      <c r="H74" s="15" t="str">
        <f>IF(G74&gt;'(검증1)이상치 검정'!$G$9,"Alert","")</f>
        <v/>
      </c>
    </row>
    <row r="75" spans="1:8" s="9" customFormat="1">
      <c r="A75" s="7" t="s">
        <v>12</v>
      </c>
      <c r="B75" s="7">
        <v>10</v>
      </c>
      <c r="C75" s="7" t="s">
        <v>116</v>
      </c>
      <c r="D75" s="8">
        <v>49.3</v>
      </c>
      <c r="E75" s="12">
        <v>44423.176446759258</v>
      </c>
      <c r="G75" s="9">
        <f>ABS((D75-'(검증1)이상치 검정'!$E$9)/'(검증1)이상치 검정'!$F$9)</f>
        <v>1.8083888603589711</v>
      </c>
      <c r="H75" s="15" t="str">
        <f>IF(G75&gt;'(검증1)이상치 검정'!$G$9,"Alert","")</f>
        <v>Alert</v>
      </c>
    </row>
    <row r="76" spans="1:8" s="9" customFormat="1">
      <c r="A76" s="7" t="s">
        <v>12</v>
      </c>
      <c r="B76" s="7">
        <v>11</v>
      </c>
      <c r="C76" s="7" t="s">
        <v>117</v>
      </c>
      <c r="D76" s="8">
        <v>49.5</v>
      </c>
      <c r="E76" s="12">
        <v>44423.177141203705</v>
      </c>
      <c r="G76" s="9">
        <f>ABS((D76-'(검증1)이상치 검정'!$E$9)/'(검증1)이상치 검정'!$F$9)</f>
        <v>0.93159426139705137</v>
      </c>
      <c r="H76" s="15" t="str">
        <f>IF(G76&gt;'(검증1)이상치 검정'!$G$9,"Alert","")</f>
        <v/>
      </c>
    </row>
    <row r="77" spans="1:8" s="9" customFormat="1">
      <c r="A77" s="7" t="s">
        <v>12</v>
      </c>
      <c r="B77" s="7">
        <v>12</v>
      </c>
      <c r="C77" s="7" t="s">
        <v>118</v>
      </c>
      <c r="D77" s="8">
        <v>49.4</v>
      </c>
      <c r="E77" s="12">
        <v>44423.177835648145</v>
      </c>
      <c r="G77" s="9">
        <f>ABS((D77-'(검증1)이상치 검정'!$E$9)/'(검증1)이상치 검정'!$F$9)</f>
        <v>1.3699915608780113</v>
      </c>
      <c r="H77" s="15" t="str">
        <f>IF(G77&gt;'(검증1)이상치 검정'!$G$9,"Alert","")</f>
        <v/>
      </c>
    </row>
    <row r="78" spans="1:8" s="9" customFormat="1">
      <c r="A78" s="7" t="s">
        <v>12</v>
      </c>
      <c r="B78" s="7">
        <v>13</v>
      </c>
      <c r="C78" s="7" t="s">
        <v>119</v>
      </c>
      <c r="D78" s="8">
        <v>49.5</v>
      </c>
      <c r="E78" s="12">
        <v>44423.178530092591</v>
      </c>
      <c r="G78" s="9">
        <f>ABS((D78-'(검증1)이상치 검정'!$E$9)/'(검증1)이상치 검정'!$F$9)</f>
        <v>0.93159426139705137</v>
      </c>
      <c r="H78" s="15" t="str">
        <f>IF(G78&gt;'(검증1)이상치 검정'!$G$9,"Alert","")</f>
        <v/>
      </c>
    </row>
    <row r="79" spans="1:8" s="9" customFormat="1">
      <c r="A79" s="7" t="s">
        <v>12</v>
      </c>
      <c r="B79" s="7">
        <v>14</v>
      </c>
      <c r="C79" s="7" t="s">
        <v>120</v>
      </c>
      <c r="D79" s="8">
        <v>49.4</v>
      </c>
      <c r="E79" s="12">
        <v>44423.179224537038</v>
      </c>
      <c r="G79" s="9">
        <f>ABS((D79-'(검증1)이상치 검정'!$E$9)/'(검증1)이상치 검정'!$F$9)</f>
        <v>1.3699915608780113</v>
      </c>
      <c r="H79" s="15" t="str">
        <f>IF(G79&gt;'(검증1)이상치 검정'!$G$9,"Alert","")</f>
        <v/>
      </c>
    </row>
    <row r="80" spans="1:8" s="9" customFormat="1">
      <c r="A80" s="7" t="s">
        <v>12</v>
      </c>
      <c r="B80" s="7">
        <v>15</v>
      </c>
      <c r="C80" s="7" t="s">
        <v>121</v>
      </c>
      <c r="D80" s="8">
        <v>49.6</v>
      </c>
      <c r="E80" s="12">
        <v>44423.179918981485</v>
      </c>
      <c r="G80" s="9">
        <f>ABS((D80-'(검증1)이상치 검정'!$E$9)/'(검증1)이상치 검정'!$F$9)</f>
        <v>0.49319696191609153</v>
      </c>
      <c r="H80" s="15" t="str">
        <f>IF(G80&gt;'(검증1)이상치 검정'!$G$9,"Alert","")</f>
        <v/>
      </c>
    </row>
    <row r="81" spans="1:8" s="9" customFormat="1">
      <c r="A81" s="7" t="s">
        <v>12</v>
      </c>
      <c r="B81" s="7">
        <v>16</v>
      </c>
      <c r="C81" s="7" t="s">
        <v>122</v>
      </c>
      <c r="D81" s="8">
        <v>49.4</v>
      </c>
      <c r="E81" s="12">
        <v>44423.180613425924</v>
      </c>
      <c r="G81" s="9">
        <f>ABS((D81-'(검증1)이상치 검정'!$E$9)/'(검증1)이상치 검정'!$F$9)</f>
        <v>1.3699915608780113</v>
      </c>
      <c r="H81" s="15" t="str">
        <f>IF(G81&gt;'(검증1)이상치 검정'!$G$9,"Alert","")</f>
        <v/>
      </c>
    </row>
    <row r="82" spans="1:8" s="9" customFormat="1">
      <c r="A82" s="7" t="s">
        <v>12</v>
      </c>
      <c r="B82" s="7">
        <v>17</v>
      </c>
      <c r="C82" s="7" t="s">
        <v>123</v>
      </c>
      <c r="D82" s="8">
        <v>49.6</v>
      </c>
      <c r="E82" s="12">
        <v>44423.181307870371</v>
      </c>
      <c r="G82" s="9">
        <f>ABS((D82-'(검증1)이상치 검정'!$E$9)/'(검증1)이상치 검정'!$F$9)</f>
        <v>0.49319696191609153</v>
      </c>
      <c r="H82" s="15" t="str">
        <f>IF(G82&gt;'(검증1)이상치 검정'!$G$9,"Alert","")</f>
        <v/>
      </c>
    </row>
    <row r="83" spans="1:8" s="9" customFormat="1">
      <c r="A83" s="7" t="s">
        <v>12</v>
      </c>
      <c r="B83" s="7">
        <v>18</v>
      </c>
      <c r="C83" s="7" t="s">
        <v>124</v>
      </c>
      <c r="D83" s="8">
        <v>49.4</v>
      </c>
      <c r="E83" s="12">
        <v>44423.182002314818</v>
      </c>
      <c r="G83" s="9">
        <f>ABS((D83-'(검증1)이상치 검정'!$E$9)/'(검증1)이상치 검정'!$F$9)</f>
        <v>1.3699915608780113</v>
      </c>
      <c r="H83" s="15" t="str">
        <f>IF(G83&gt;'(검증1)이상치 검정'!$G$9,"Alert","")</f>
        <v/>
      </c>
    </row>
    <row r="84" spans="1:8" s="9" customFormat="1">
      <c r="A84" s="7" t="s">
        <v>12</v>
      </c>
      <c r="B84" s="7">
        <v>19</v>
      </c>
      <c r="C84" s="7" t="s">
        <v>125</v>
      </c>
      <c r="D84" s="8">
        <v>49.5</v>
      </c>
      <c r="E84" s="12">
        <v>44423.182696759257</v>
      </c>
      <c r="G84" s="9">
        <f>ABS((D84-'(검증1)이상치 검정'!$E$9)/'(검증1)이상치 검정'!$F$9)</f>
        <v>0.93159426139705137</v>
      </c>
      <c r="H84" s="15" t="str">
        <f>IF(G84&gt;'(검증1)이상치 검정'!$G$9,"Alert","")</f>
        <v/>
      </c>
    </row>
    <row r="85" spans="1:8" s="9" customFormat="1">
      <c r="A85" s="7" t="s">
        <v>12</v>
      </c>
      <c r="B85" s="7">
        <v>20</v>
      </c>
      <c r="C85" s="7" t="s">
        <v>126</v>
      </c>
      <c r="D85" s="8">
        <v>49.2</v>
      </c>
      <c r="E85" s="12">
        <v>44423.183391203704</v>
      </c>
      <c r="G85" s="9">
        <f>ABS((D85-'(검증1)이상치 검정'!$E$9)/'(검증1)이상치 검정'!$F$9)</f>
        <v>2.2467861598398997</v>
      </c>
      <c r="H85" s="15" t="str">
        <f>IF(G85&gt;'(검증1)이상치 검정'!$G$9,"Alert","")</f>
        <v>Alert</v>
      </c>
    </row>
    <row r="86" spans="1:8" s="9" customFormat="1">
      <c r="A86" s="7" t="s">
        <v>12</v>
      </c>
      <c r="B86" s="7">
        <v>21</v>
      </c>
      <c r="C86" s="7" t="s">
        <v>127</v>
      </c>
      <c r="D86" s="8">
        <v>49.7</v>
      </c>
      <c r="E86" s="12">
        <v>44423.18408564815</v>
      </c>
      <c r="G86" s="9">
        <f>ABS((D86-'(검증1)이상치 검정'!$E$9)/'(검증1)이상치 검정'!$F$9)</f>
        <v>5.4799662435131666E-2</v>
      </c>
      <c r="H86" s="15" t="str">
        <f>IF(G86&gt;'(검증1)이상치 검정'!$G$9,"Alert","")</f>
        <v/>
      </c>
    </row>
    <row r="87" spans="1:8" s="9" customFormat="1">
      <c r="A87" s="7" t="s">
        <v>12</v>
      </c>
      <c r="B87" s="7">
        <v>22</v>
      </c>
      <c r="C87" s="7" t="s">
        <v>128</v>
      </c>
      <c r="D87" s="8">
        <v>49.8</v>
      </c>
      <c r="E87" s="12">
        <v>44423.18476851852</v>
      </c>
      <c r="G87" s="9">
        <f>ABS((D87-'(검증1)이상치 검정'!$E$9)/'(검증1)이상치 검정'!$F$9)</f>
        <v>0.38359763704579708</v>
      </c>
      <c r="H87" s="15" t="str">
        <f>IF(G87&gt;'(검증1)이상치 검정'!$G$9,"Alert","")</f>
        <v/>
      </c>
    </row>
    <row r="88" spans="1:8" s="9" customFormat="1">
      <c r="A88" s="7" t="s">
        <v>12</v>
      </c>
      <c r="B88" s="7">
        <v>23</v>
      </c>
      <c r="C88" s="7" t="s">
        <v>129</v>
      </c>
      <c r="D88" s="8">
        <v>49.9</v>
      </c>
      <c r="E88" s="12">
        <v>44423.185474537036</v>
      </c>
      <c r="G88" s="9">
        <f>ABS((D88-'(검증1)이상치 검정'!$E$9)/'(검증1)이상치 검정'!$F$9)</f>
        <v>0.82199493652675693</v>
      </c>
      <c r="H88" s="15" t="str">
        <f>IF(G88&gt;'(검증1)이상치 검정'!$G$9,"Alert","")</f>
        <v/>
      </c>
    </row>
    <row r="89" spans="1:8" s="9" customFormat="1">
      <c r="A89" s="7" t="s">
        <v>12</v>
      </c>
      <c r="B89" s="7">
        <v>24</v>
      </c>
      <c r="C89" s="7" t="s">
        <v>130</v>
      </c>
      <c r="D89" s="8">
        <v>49.9</v>
      </c>
      <c r="E89" s="12">
        <v>44423.186168981483</v>
      </c>
      <c r="G89" s="9">
        <f>ABS((D89-'(검증1)이상치 검정'!$E$9)/'(검증1)이상치 검정'!$F$9)</f>
        <v>0.82199493652675693</v>
      </c>
      <c r="H89" s="15" t="str">
        <f>IF(G89&gt;'(검증1)이상치 검정'!$G$9,"Alert","")</f>
        <v/>
      </c>
    </row>
    <row r="90" spans="1:8" s="9" customFormat="1">
      <c r="A90" s="7" t="s">
        <v>12</v>
      </c>
      <c r="B90" s="7">
        <v>25</v>
      </c>
      <c r="C90" s="7" t="s">
        <v>131</v>
      </c>
      <c r="D90" s="8">
        <v>49.7</v>
      </c>
      <c r="E90" s="12">
        <v>44423.186863425923</v>
      </c>
      <c r="G90" s="9">
        <f>ABS((D90-'(검증1)이상치 검정'!$E$9)/'(검증1)이상치 검정'!$F$9)</f>
        <v>5.4799662435131666E-2</v>
      </c>
      <c r="H90" s="15" t="str">
        <f>IF(G90&gt;'(검증1)이상치 검정'!$G$9,"Alert","")</f>
        <v/>
      </c>
    </row>
    <row r="91" spans="1:8" s="9" customFormat="1">
      <c r="A91" s="7" t="s">
        <v>12</v>
      </c>
      <c r="B91" s="7">
        <v>26</v>
      </c>
      <c r="C91" s="7" t="s">
        <v>132</v>
      </c>
      <c r="D91" s="8">
        <v>49.8</v>
      </c>
      <c r="E91" s="12">
        <v>44423.187557870369</v>
      </c>
      <c r="G91" s="9">
        <f>ABS((D91-'(검증1)이상치 검정'!$E$9)/'(검증1)이상치 검정'!$F$9)</f>
        <v>0.38359763704579708</v>
      </c>
      <c r="H91" s="15" t="str">
        <f>IF(G91&gt;'(검증1)이상치 검정'!$G$9,"Alert","")</f>
        <v/>
      </c>
    </row>
    <row r="92" spans="1:8" s="9" customFormat="1">
      <c r="A92" s="7" t="s">
        <v>12</v>
      </c>
      <c r="B92" s="7">
        <v>27</v>
      </c>
      <c r="C92" s="7" t="s">
        <v>133</v>
      </c>
      <c r="D92" s="8">
        <v>49.8</v>
      </c>
      <c r="E92" s="12">
        <v>44423.188252314816</v>
      </c>
      <c r="G92" s="9">
        <f>ABS((D92-'(검증1)이상치 검정'!$E$9)/'(검증1)이상치 검정'!$F$9)</f>
        <v>0.38359763704579708</v>
      </c>
      <c r="H92" s="15" t="str">
        <f>IF(G92&gt;'(검증1)이상치 검정'!$G$9,"Alert","")</f>
        <v/>
      </c>
    </row>
    <row r="93" spans="1:8" s="9" customFormat="1">
      <c r="A93" s="7" t="s">
        <v>12</v>
      </c>
      <c r="B93" s="7">
        <v>28</v>
      </c>
      <c r="C93" s="7" t="s">
        <v>134</v>
      </c>
      <c r="D93" s="8">
        <v>49.9</v>
      </c>
      <c r="E93" s="12">
        <v>44423.188946759263</v>
      </c>
      <c r="G93" s="9">
        <f>ABS((D93-'(검증1)이상치 검정'!$E$9)/'(검증1)이상치 검정'!$F$9)</f>
        <v>0.82199493652675693</v>
      </c>
      <c r="H93" s="15" t="str">
        <f>IF(G93&gt;'(검증1)이상치 검정'!$G$9,"Alert","")</f>
        <v/>
      </c>
    </row>
    <row r="94" spans="1:8" s="9" customFormat="1">
      <c r="A94" s="7" t="s">
        <v>12</v>
      </c>
      <c r="B94" s="7">
        <v>29</v>
      </c>
      <c r="C94" s="7" t="s">
        <v>135</v>
      </c>
      <c r="D94" s="8">
        <v>49.8</v>
      </c>
      <c r="E94" s="12">
        <v>44423.189641203702</v>
      </c>
      <c r="G94" s="9">
        <f>ABS((D94-'(검증1)이상치 검정'!$E$9)/'(검증1)이상치 검정'!$F$9)</f>
        <v>0.38359763704579708</v>
      </c>
      <c r="H94" s="15" t="str">
        <f>IF(G94&gt;'(검증1)이상치 검정'!$G$9,"Alert","")</f>
        <v/>
      </c>
    </row>
    <row r="95" spans="1:8" s="9" customFormat="1">
      <c r="A95" s="7" t="s">
        <v>12</v>
      </c>
      <c r="B95" s="7">
        <v>30</v>
      </c>
      <c r="C95" s="7" t="s">
        <v>136</v>
      </c>
      <c r="D95" s="8">
        <v>49.8</v>
      </c>
      <c r="E95" s="12">
        <v>44423.190335648149</v>
      </c>
      <c r="G95" s="9">
        <f>ABS((D95-'(검증1)이상치 검정'!$E$9)/'(검증1)이상치 검정'!$F$9)</f>
        <v>0.38359763704579708</v>
      </c>
      <c r="H95" s="15" t="str">
        <f>IF(G95&gt;'(검증1)이상치 검정'!$G$9,"Alert","")</f>
        <v/>
      </c>
    </row>
    <row r="96" spans="1:8" s="9" customFormat="1">
      <c r="A96" s="7" t="s">
        <v>12</v>
      </c>
      <c r="B96" s="7">
        <v>31</v>
      </c>
      <c r="C96" s="7" t="s">
        <v>137</v>
      </c>
      <c r="D96" s="8">
        <v>49.9</v>
      </c>
      <c r="E96" s="12">
        <v>44423.191030092596</v>
      </c>
      <c r="G96" s="9">
        <f>ABS((D96-'(검증1)이상치 검정'!$E$9)/'(검증1)이상치 검정'!$F$9)</f>
        <v>0.82199493652675693</v>
      </c>
      <c r="H96" s="15" t="str">
        <f>IF(G96&gt;'(검증1)이상치 검정'!$G$9,"Alert","")</f>
        <v/>
      </c>
    </row>
    <row r="97" spans="1:8" s="9" customFormat="1">
      <c r="A97" s="7" t="s">
        <v>12</v>
      </c>
      <c r="B97" s="7">
        <v>32</v>
      </c>
      <c r="C97" s="7" t="s">
        <v>138</v>
      </c>
      <c r="D97" s="8">
        <v>49.7</v>
      </c>
      <c r="E97" s="12">
        <v>44423.191724537035</v>
      </c>
      <c r="G97" s="9">
        <f>ABS((D97-'(검증1)이상치 검정'!$E$9)/'(검증1)이상치 검정'!$F$9)</f>
        <v>5.4799662435131666E-2</v>
      </c>
      <c r="H97" s="15" t="str">
        <f>IF(G97&gt;'(검증1)이상치 검정'!$G$9,"Alert","")</f>
        <v/>
      </c>
    </row>
    <row r="98" spans="1:8" s="9" customFormat="1">
      <c r="A98" s="7" t="s">
        <v>12</v>
      </c>
      <c r="B98" s="7">
        <v>33</v>
      </c>
      <c r="C98" s="7" t="s">
        <v>139</v>
      </c>
      <c r="D98" s="8">
        <v>49.9</v>
      </c>
      <c r="E98" s="12">
        <v>44423.192418981482</v>
      </c>
      <c r="G98" s="9">
        <f>ABS((D98-'(검증1)이상치 검정'!$E$9)/'(검증1)이상치 검정'!$F$9)</f>
        <v>0.82199493652675693</v>
      </c>
      <c r="H98" s="15" t="str">
        <f>IF(G98&gt;'(검증1)이상치 검정'!$G$9,"Alert","")</f>
        <v/>
      </c>
    </row>
    <row r="99" spans="1:8" s="9" customFormat="1">
      <c r="A99" s="7" t="s">
        <v>12</v>
      </c>
      <c r="B99" s="7">
        <v>34</v>
      </c>
      <c r="C99" s="7" t="s">
        <v>140</v>
      </c>
      <c r="D99" s="8">
        <v>49.8</v>
      </c>
      <c r="E99" s="12">
        <v>44423.193101851852</v>
      </c>
      <c r="G99" s="9">
        <f>ABS((D99-'(검증1)이상치 검정'!$E$9)/'(검증1)이상치 검정'!$F$9)</f>
        <v>0.38359763704579708</v>
      </c>
      <c r="H99" s="15" t="str">
        <f>IF(G99&gt;'(검증1)이상치 검정'!$G$9,"Alert","")</f>
        <v/>
      </c>
    </row>
    <row r="100" spans="1:8" s="9" customFormat="1">
      <c r="A100" s="7" t="s">
        <v>12</v>
      </c>
      <c r="B100" s="7">
        <v>35</v>
      </c>
      <c r="C100" s="7" t="s">
        <v>141</v>
      </c>
      <c r="D100" s="8">
        <v>49.6</v>
      </c>
      <c r="E100" s="12">
        <v>44423.193807870368</v>
      </c>
      <c r="G100" s="9">
        <f>ABS((D100-'(검증1)이상치 검정'!$E$9)/'(검증1)이상치 검정'!$F$9)</f>
        <v>0.49319696191609153</v>
      </c>
      <c r="H100" s="15" t="str">
        <f>IF(G100&gt;'(검증1)이상치 검정'!$G$9,"Alert","")</f>
        <v/>
      </c>
    </row>
    <row r="101" spans="1:8" s="9" customFormat="1">
      <c r="A101" s="7" t="s">
        <v>12</v>
      </c>
      <c r="B101" s="7">
        <v>36</v>
      </c>
      <c r="C101" s="7" t="s">
        <v>142</v>
      </c>
      <c r="D101" s="8">
        <v>49.6</v>
      </c>
      <c r="E101" s="12">
        <v>44423.194490740738</v>
      </c>
      <c r="G101" s="9">
        <f>ABS((D101-'(검증1)이상치 검정'!$E$9)/'(검증1)이상치 검정'!$F$9)</f>
        <v>0.49319696191609153</v>
      </c>
      <c r="H101" s="15" t="str">
        <f>IF(G101&gt;'(검증1)이상치 검정'!$G$9,"Alert","")</f>
        <v/>
      </c>
    </row>
    <row r="102" spans="1:8" s="9" customFormat="1">
      <c r="A102" s="7" t="s">
        <v>12</v>
      </c>
      <c r="B102" s="7">
        <v>37</v>
      </c>
      <c r="C102" s="7" t="s">
        <v>143</v>
      </c>
      <c r="D102" s="8">
        <v>49.8</v>
      </c>
      <c r="E102" s="12">
        <v>44423.195196759261</v>
      </c>
      <c r="G102" s="9">
        <f>ABS((D102-'(검증1)이상치 검정'!$E$9)/'(검증1)이상치 검정'!$F$9)</f>
        <v>0.38359763704579708</v>
      </c>
      <c r="H102" s="15" t="str">
        <f>IF(G102&gt;'(검증1)이상치 검정'!$G$9,"Alert","")</f>
        <v/>
      </c>
    </row>
    <row r="103" spans="1:8" s="9" customFormat="1">
      <c r="A103" s="7" t="s">
        <v>12</v>
      </c>
      <c r="B103" s="7">
        <v>38</v>
      </c>
      <c r="C103" s="7" t="s">
        <v>144</v>
      </c>
      <c r="D103" s="8">
        <v>49.9</v>
      </c>
      <c r="E103" s="12">
        <v>44423.195891203701</v>
      </c>
      <c r="G103" s="9">
        <f>ABS((D103-'(검증1)이상치 검정'!$E$9)/'(검증1)이상치 검정'!$F$9)</f>
        <v>0.82199493652675693</v>
      </c>
      <c r="H103" s="15" t="str">
        <f>IF(G103&gt;'(검증1)이상치 검정'!$G$9,"Alert","")</f>
        <v/>
      </c>
    </row>
    <row r="104" spans="1:8" s="9" customFormat="1">
      <c r="A104" s="7" t="s">
        <v>12</v>
      </c>
      <c r="B104" s="7">
        <v>39</v>
      </c>
      <c r="C104" s="7" t="s">
        <v>145</v>
      </c>
      <c r="D104" s="8">
        <v>50</v>
      </c>
      <c r="E104" s="12">
        <v>44423.196574074071</v>
      </c>
      <c r="G104" s="9">
        <f>ABS((D104-'(검증1)이상치 검정'!$E$9)/'(검증1)이상치 검정'!$F$9)</f>
        <v>1.2603922360077169</v>
      </c>
      <c r="H104" s="15" t="str">
        <f>IF(G104&gt;'(검증1)이상치 검정'!$G$9,"Alert","")</f>
        <v/>
      </c>
    </row>
    <row r="105" spans="1:8" s="9" customFormat="1">
      <c r="A105" s="7" t="s">
        <v>12</v>
      </c>
      <c r="B105" s="7">
        <v>40</v>
      </c>
      <c r="C105" s="7" t="s">
        <v>146</v>
      </c>
      <c r="D105" s="8">
        <v>49.6</v>
      </c>
      <c r="E105" s="12">
        <v>44423.197268518517</v>
      </c>
      <c r="G105" s="9">
        <f>ABS((D105-'(검증1)이상치 검정'!$E$9)/'(검증1)이상치 검정'!$F$9)</f>
        <v>0.49319696191609153</v>
      </c>
      <c r="H105" s="15" t="str">
        <f>IF(G105&gt;'(검증1)이상치 검정'!$G$9,"Alert","")</f>
        <v/>
      </c>
    </row>
    <row r="106" spans="1:8" s="9" customFormat="1">
      <c r="A106" s="7" t="s">
        <v>12</v>
      </c>
      <c r="B106" s="7">
        <v>41</v>
      </c>
      <c r="C106" s="7" t="s">
        <v>147</v>
      </c>
      <c r="D106" s="8">
        <v>49.9</v>
      </c>
      <c r="E106" s="12">
        <v>44423.197974537034</v>
      </c>
      <c r="G106" s="9">
        <f>ABS((D106-'(검증1)이상치 검정'!$E$9)/'(검증1)이상치 검정'!$F$9)</f>
        <v>0.82199493652675693</v>
      </c>
      <c r="H106" s="15" t="str">
        <f>IF(G106&gt;'(검증1)이상치 검정'!$G$9,"Alert","")</f>
        <v/>
      </c>
    </row>
    <row r="107" spans="1:8" s="9" customFormat="1">
      <c r="A107" s="7" t="s">
        <v>12</v>
      </c>
      <c r="B107" s="7">
        <v>42</v>
      </c>
      <c r="C107" s="7" t="s">
        <v>148</v>
      </c>
      <c r="D107" s="8">
        <v>49.9</v>
      </c>
      <c r="E107" s="12">
        <v>44423.19866898148</v>
      </c>
      <c r="G107" s="9">
        <f>ABS((D107-'(검증1)이상치 검정'!$E$9)/'(검증1)이상치 검정'!$F$9)</f>
        <v>0.82199493652675693</v>
      </c>
      <c r="H107" s="15" t="str">
        <f>IF(G107&gt;'(검증1)이상치 검정'!$G$9,"Alert","")</f>
        <v/>
      </c>
    </row>
    <row r="108" spans="1:8" s="9" customFormat="1">
      <c r="A108" s="7" t="s">
        <v>12</v>
      </c>
      <c r="B108" s="7">
        <v>43</v>
      </c>
      <c r="C108" s="7" t="s">
        <v>149</v>
      </c>
      <c r="D108" s="8">
        <v>49.8</v>
      </c>
      <c r="E108" s="12">
        <v>44423.19935185185</v>
      </c>
      <c r="G108" s="9">
        <f>ABS((D108-'(검증1)이상치 검정'!$E$9)/'(검증1)이상치 검정'!$F$9)</f>
        <v>0.38359763704579708</v>
      </c>
      <c r="H108" s="15" t="str">
        <f>IF(G108&gt;'(검증1)이상치 검정'!$G$9,"Alert","")</f>
        <v/>
      </c>
    </row>
    <row r="109" spans="1:8" s="9" customFormat="1">
      <c r="A109" s="7" t="s">
        <v>12</v>
      </c>
      <c r="B109" s="7">
        <v>44</v>
      </c>
      <c r="C109" s="7" t="s">
        <v>150</v>
      </c>
      <c r="D109" s="8">
        <v>49.6</v>
      </c>
      <c r="E109" s="12">
        <v>44423.200057870374</v>
      </c>
      <c r="G109" s="9">
        <f>ABS((D109-'(검증1)이상치 검정'!$E$9)/'(검증1)이상치 검정'!$F$9)</f>
        <v>0.49319696191609153</v>
      </c>
      <c r="H109" s="15" t="str">
        <f>IF(G109&gt;'(검증1)이상치 검정'!$G$9,"Alert","")</f>
        <v/>
      </c>
    </row>
    <row r="110" spans="1:8" s="9" customFormat="1">
      <c r="A110" s="7" t="s">
        <v>12</v>
      </c>
      <c r="B110" s="7">
        <v>45</v>
      </c>
      <c r="C110" s="7" t="s">
        <v>151</v>
      </c>
      <c r="D110" s="8">
        <v>49.8</v>
      </c>
      <c r="E110" s="12">
        <v>44423.200752314813</v>
      </c>
      <c r="G110" s="9">
        <f>ABS((D110-'(검증1)이상치 검정'!$E$9)/'(검증1)이상치 검정'!$F$9)</f>
        <v>0.38359763704579708</v>
      </c>
      <c r="H110" s="15" t="str">
        <f>IF(G110&gt;'(검증1)이상치 검정'!$G$9,"Alert","")</f>
        <v/>
      </c>
    </row>
    <row r="111" spans="1:8" s="9" customFormat="1">
      <c r="A111" s="7" t="s">
        <v>12</v>
      </c>
      <c r="B111" s="7">
        <v>46</v>
      </c>
      <c r="C111" s="7" t="s">
        <v>152</v>
      </c>
      <c r="D111" s="8">
        <v>49.7</v>
      </c>
      <c r="E111" s="12">
        <v>44423.20144675926</v>
      </c>
      <c r="G111" s="9">
        <f>ABS((D111-'(검증1)이상치 검정'!$E$9)/'(검증1)이상치 검정'!$F$9)</f>
        <v>5.4799662435131666E-2</v>
      </c>
      <c r="H111" s="15" t="str">
        <f>IF(G111&gt;'(검증1)이상치 검정'!$G$9,"Alert","")</f>
        <v/>
      </c>
    </row>
    <row r="112" spans="1:8" s="9" customFormat="1">
      <c r="A112" s="7" t="s">
        <v>12</v>
      </c>
      <c r="B112" s="7">
        <v>47</v>
      </c>
      <c r="C112" s="7" t="s">
        <v>153</v>
      </c>
      <c r="D112" s="8">
        <v>49.5</v>
      </c>
      <c r="E112" s="12">
        <v>44423.202141203707</v>
      </c>
      <c r="G112" s="9">
        <f>ABS((D112-'(검증1)이상치 검정'!$E$9)/'(검증1)이상치 검정'!$F$9)</f>
        <v>0.93159426139705137</v>
      </c>
      <c r="H112" s="15" t="str">
        <f>IF(G112&gt;'(검증1)이상치 검정'!$G$9,"Alert","")</f>
        <v/>
      </c>
    </row>
    <row r="113" spans="1:8" s="9" customFormat="1">
      <c r="A113" s="7" t="s">
        <v>12</v>
      </c>
      <c r="B113" s="7">
        <v>48</v>
      </c>
      <c r="C113" s="7" t="s">
        <v>154</v>
      </c>
      <c r="D113" s="8">
        <v>49</v>
      </c>
      <c r="E113" s="12">
        <v>44423.202824074076</v>
      </c>
      <c r="G113" s="9">
        <f>ABS((D113-'(검증1)이상치 검정'!$E$9)/'(검증1)이상치 검정'!$F$9)</f>
        <v>3.1235807588018196</v>
      </c>
      <c r="H113" s="15" t="str">
        <f>IF(G113&gt;'(검증1)이상치 검정'!$G$9,"Alert","")</f>
        <v>Alert</v>
      </c>
    </row>
    <row r="114" spans="1:8" s="9" customFormat="1">
      <c r="A114" s="7" t="s">
        <v>12</v>
      </c>
      <c r="B114" s="7">
        <v>49</v>
      </c>
      <c r="C114" s="7" t="s">
        <v>155</v>
      </c>
      <c r="D114" s="8">
        <v>49.4</v>
      </c>
      <c r="E114" s="12">
        <v>44423.203530092593</v>
      </c>
      <c r="G114" s="9">
        <f>ABS((D114-'(검증1)이상치 검정'!$E$9)/'(검증1)이상치 검정'!$F$9)</f>
        <v>1.3699915608780113</v>
      </c>
      <c r="H114" s="15" t="str">
        <f>IF(G114&gt;'(검증1)이상치 검정'!$G$9,"Alert","")</f>
        <v/>
      </c>
    </row>
    <row r="115" spans="1:8" s="9" customFormat="1">
      <c r="A115" s="7" t="s">
        <v>12</v>
      </c>
      <c r="B115" s="7">
        <v>50</v>
      </c>
      <c r="C115" s="7" t="s">
        <v>156</v>
      </c>
      <c r="D115" s="8">
        <v>49.2</v>
      </c>
      <c r="E115" s="12">
        <v>44423.204212962963</v>
      </c>
      <c r="G115" s="9">
        <f>ABS((D115-'(검증1)이상치 검정'!$E$9)/'(검증1)이상치 검정'!$F$9)</f>
        <v>2.2467861598398997</v>
      </c>
      <c r="H115" s="15" t="str">
        <f>IF(G115&gt;'(검증1)이상치 검정'!$G$9,"Alert","")</f>
        <v>Alert</v>
      </c>
    </row>
    <row r="116" spans="1:8" s="9" customFormat="1">
      <c r="A116" s="7" t="s">
        <v>12</v>
      </c>
      <c r="B116" s="7">
        <v>51</v>
      </c>
      <c r="C116" s="7" t="s">
        <v>157</v>
      </c>
      <c r="D116" s="8">
        <v>49.8</v>
      </c>
      <c r="E116" s="12">
        <v>44423.204907407409</v>
      </c>
      <c r="G116" s="9">
        <f>ABS((D116-'(검증1)이상치 검정'!$E$9)/'(검증1)이상치 검정'!$F$9)</f>
        <v>0.38359763704579708</v>
      </c>
      <c r="H116" s="15" t="str">
        <f>IF(G116&gt;'(검증1)이상치 검정'!$G$9,"Alert","")</f>
        <v/>
      </c>
    </row>
    <row r="117" spans="1:8" s="9" customFormat="1">
      <c r="A117" s="7" t="s">
        <v>12</v>
      </c>
      <c r="B117" s="7">
        <v>52</v>
      </c>
      <c r="C117" s="7" t="s">
        <v>158</v>
      </c>
      <c r="D117" s="8">
        <v>49.6</v>
      </c>
      <c r="E117" s="12">
        <v>44423.205613425926</v>
      </c>
      <c r="G117" s="9">
        <f>ABS((D117-'(검증1)이상치 검정'!$E$9)/'(검증1)이상치 검정'!$F$9)</f>
        <v>0.49319696191609153</v>
      </c>
      <c r="H117" s="15" t="str">
        <f>IF(G117&gt;'(검증1)이상치 검정'!$G$9,"Alert","")</f>
        <v/>
      </c>
    </row>
    <row r="118" spans="1:8" s="9" customFormat="1">
      <c r="A118" s="7" t="s">
        <v>12</v>
      </c>
      <c r="B118" s="7">
        <v>53</v>
      </c>
      <c r="C118" s="7" t="s">
        <v>159</v>
      </c>
      <c r="D118" s="8">
        <v>49.4</v>
      </c>
      <c r="E118" s="12">
        <v>44423.206296296295</v>
      </c>
      <c r="G118" s="9">
        <f>ABS((D118-'(검증1)이상치 검정'!$E$9)/'(검증1)이상치 검정'!$F$9)</f>
        <v>1.3699915608780113</v>
      </c>
      <c r="H118" s="15" t="str">
        <f>IF(G118&gt;'(검증1)이상치 검정'!$G$9,"Alert","")</f>
        <v/>
      </c>
    </row>
    <row r="119" spans="1:8" s="9" customFormat="1">
      <c r="A119" s="7" t="s">
        <v>12</v>
      </c>
      <c r="B119" s="7">
        <v>54</v>
      </c>
      <c r="C119" s="7" t="s">
        <v>160</v>
      </c>
      <c r="D119" s="8">
        <v>49.6</v>
      </c>
      <c r="E119" s="12">
        <v>44423.207002314812</v>
      </c>
      <c r="G119" s="9">
        <f>ABS((D119-'(검증1)이상치 검정'!$E$9)/'(검증1)이상치 검정'!$F$9)</f>
        <v>0.49319696191609153</v>
      </c>
      <c r="H119" s="15" t="str">
        <f>IF(G119&gt;'(검증1)이상치 검정'!$G$9,"Alert","")</f>
        <v/>
      </c>
    </row>
    <row r="120" spans="1:8" s="9" customFormat="1">
      <c r="A120" s="7" t="s">
        <v>12</v>
      </c>
      <c r="B120" s="7">
        <v>55</v>
      </c>
      <c r="C120" s="7" t="s">
        <v>161</v>
      </c>
      <c r="D120" s="8">
        <v>49.8</v>
      </c>
      <c r="E120" s="12">
        <v>44423.207685185182</v>
      </c>
      <c r="G120" s="9">
        <f>ABS((D120-'(검증1)이상치 검정'!$E$9)/'(검증1)이상치 검정'!$F$9)</f>
        <v>0.38359763704579708</v>
      </c>
      <c r="H120" s="15" t="str">
        <f>IF(G120&gt;'(검증1)이상치 검정'!$G$9,"Alert","")</f>
        <v/>
      </c>
    </row>
    <row r="121" spans="1:8" s="9" customFormat="1">
      <c r="A121" s="7" t="s">
        <v>12</v>
      </c>
      <c r="B121" s="7">
        <v>56</v>
      </c>
      <c r="C121" s="7" t="s">
        <v>162</v>
      </c>
      <c r="D121" s="8">
        <v>49.7</v>
      </c>
      <c r="E121" s="12">
        <v>44423.208379629628</v>
      </c>
      <c r="G121" s="9">
        <f>ABS((D121-'(검증1)이상치 검정'!$E$9)/'(검증1)이상치 검정'!$F$9)</f>
        <v>5.4799662435131666E-2</v>
      </c>
      <c r="H121" s="15" t="str">
        <f>IF(G121&gt;'(검증1)이상치 검정'!$G$9,"Alert","")</f>
        <v/>
      </c>
    </row>
    <row r="122" spans="1:8" s="9" customFormat="1">
      <c r="A122" s="7" t="s">
        <v>12</v>
      </c>
      <c r="B122" s="7">
        <v>57</v>
      </c>
      <c r="C122" s="7" t="s">
        <v>163</v>
      </c>
      <c r="D122" s="8">
        <v>49.8</v>
      </c>
      <c r="E122" s="12">
        <v>44423.209074074075</v>
      </c>
      <c r="G122" s="9">
        <f>ABS((D122-'(검증1)이상치 검정'!$E$9)/'(검증1)이상치 검정'!$F$9)</f>
        <v>0.38359763704579708</v>
      </c>
      <c r="H122" s="15" t="str">
        <f>IF(G122&gt;'(검증1)이상치 검정'!$G$9,"Alert","")</f>
        <v/>
      </c>
    </row>
    <row r="123" spans="1:8" s="9" customFormat="1">
      <c r="A123" s="7" t="s">
        <v>12</v>
      </c>
      <c r="B123" s="7">
        <v>58</v>
      </c>
      <c r="C123" s="7" t="s">
        <v>164</v>
      </c>
      <c r="D123" s="8">
        <v>49.8</v>
      </c>
      <c r="E123" s="12">
        <v>44423.209780092591</v>
      </c>
      <c r="G123" s="9">
        <f>ABS((D123-'(검증1)이상치 검정'!$E$9)/'(검증1)이상치 검정'!$F$9)</f>
        <v>0.38359763704579708</v>
      </c>
      <c r="H123" s="15" t="str">
        <f>IF(G123&gt;'(검증1)이상치 검정'!$G$9,"Alert","")</f>
        <v/>
      </c>
    </row>
    <row r="124" spans="1:8" s="9" customFormat="1">
      <c r="A124" s="7" t="s">
        <v>12</v>
      </c>
      <c r="B124" s="7">
        <v>59</v>
      </c>
      <c r="C124" s="7" t="s">
        <v>165</v>
      </c>
      <c r="D124" s="8">
        <v>50</v>
      </c>
      <c r="E124" s="12">
        <v>44423.210462962961</v>
      </c>
      <c r="G124" s="9">
        <f>ABS((D124-'(검증1)이상치 검정'!$E$9)/'(검증1)이상치 검정'!$F$9)</f>
        <v>1.2603922360077169</v>
      </c>
      <c r="H124" s="15" t="str">
        <f>IF(G124&gt;'(검증1)이상치 검정'!$G$9,"Alert","")</f>
        <v/>
      </c>
    </row>
    <row r="125" spans="1:8" s="9" customFormat="1">
      <c r="A125" s="7" t="s">
        <v>12</v>
      </c>
      <c r="B125" s="7">
        <v>60</v>
      </c>
      <c r="C125" s="7" t="s">
        <v>166</v>
      </c>
      <c r="D125" s="8">
        <v>50.1</v>
      </c>
      <c r="E125" s="12">
        <v>44423.211157407408</v>
      </c>
      <c r="G125" s="9">
        <f>ABS((D125-'(검증1)이상치 검정'!$E$9)/'(검증1)이상치 검정'!$F$9)</f>
        <v>1.6987895354886766</v>
      </c>
      <c r="H125" s="15" t="str">
        <f>IF(G125&gt;'(검증1)이상치 검정'!$G$9,"Alert","")</f>
        <v>Alert</v>
      </c>
    </row>
    <row r="126" spans="1:8" s="9" customFormat="1">
      <c r="A126" s="7" t="s">
        <v>12</v>
      </c>
      <c r="B126" s="7">
        <v>61</v>
      </c>
      <c r="C126" s="7" t="s">
        <v>167</v>
      </c>
      <c r="D126" s="8">
        <v>50</v>
      </c>
      <c r="E126" s="12">
        <v>44423.211851851855</v>
      </c>
      <c r="G126" s="9">
        <f>ABS((D126-'(검증1)이상치 검정'!$E$9)/'(검증1)이상치 검정'!$F$9)</f>
        <v>1.2603922360077169</v>
      </c>
      <c r="H126" s="15" t="str">
        <f>IF(G126&gt;'(검증1)이상치 검정'!$G$9,"Alert","")</f>
        <v/>
      </c>
    </row>
    <row r="127" spans="1:8" s="9" customFormat="1">
      <c r="A127" s="7" t="s">
        <v>12</v>
      </c>
      <c r="B127" s="7">
        <v>62</v>
      </c>
      <c r="C127" s="7" t="s">
        <v>168</v>
      </c>
      <c r="D127" s="8">
        <v>50</v>
      </c>
      <c r="E127" s="12">
        <v>44423.212557870371</v>
      </c>
      <c r="G127" s="9">
        <f>ABS((D127-'(검증1)이상치 검정'!$E$9)/'(검증1)이상치 검정'!$F$9)</f>
        <v>1.2603922360077169</v>
      </c>
      <c r="H127" s="15" t="str">
        <f>IF(G127&gt;'(검증1)이상치 검정'!$G$9,"Alert","")</f>
        <v/>
      </c>
    </row>
    <row r="128" spans="1:8" s="9" customFormat="1">
      <c r="A128" s="7" t="s">
        <v>12</v>
      </c>
      <c r="B128" s="7">
        <v>63</v>
      </c>
      <c r="C128" s="7" t="s">
        <v>169</v>
      </c>
      <c r="D128" s="8">
        <v>49.9</v>
      </c>
      <c r="E128" s="12">
        <v>44423.213240740741</v>
      </c>
      <c r="G128" s="9">
        <f>ABS((D128-'(검증1)이상치 검정'!$E$9)/'(검증1)이상치 검정'!$F$9)</f>
        <v>0.82199493652675693</v>
      </c>
      <c r="H128" s="15" t="str">
        <f>IF(G128&gt;'(검증1)이상치 검정'!$G$9,"Alert","")</f>
        <v/>
      </c>
    </row>
    <row r="129" spans="1:8" s="9" customFormat="1">
      <c r="A129" s="7" t="s">
        <v>12</v>
      </c>
      <c r="B129" s="7">
        <v>64</v>
      </c>
      <c r="C129" s="7" t="s">
        <v>170</v>
      </c>
      <c r="D129" s="8">
        <v>50.1</v>
      </c>
      <c r="E129" s="12">
        <v>44423.213946759257</v>
      </c>
      <c r="G129" s="9">
        <f>ABS((D129-'(검증1)이상치 검정'!$E$9)/'(검증1)이상치 검정'!$F$9)</f>
        <v>1.6987895354886766</v>
      </c>
      <c r="H129" s="15" t="str">
        <f>IF(G129&gt;'(검증1)이상치 검정'!$G$9,"Alert","")</f>
        <v>Alert</v>
      </c>
    </row>
    <row r="130" spans="1:8" s="55" customFormat="1">
      <c r="A130" s="57" t="s">
        <v>106</v>
      </c>
      <c r="B130" s="57">
        <v>1</v>
      </c>
      <c r="C130" s="57" t="s">
        <v>107</v>
      </c>
      <c r="D130" s="58">
        <v>45.4</v>
      </c>
      <c r="E130" s="59">
        <v>44423.17019675926</v>
      </c>
      <c r="G130" s="55">
        <f>ABS((D130-'(검증1)이상치 검정'!$E$10)/'(검증1)이상치 검정'!$F$10)</f>
        <v>0.29097869195400988</v>
      </c>
      <c r="H130" s="25" t="str">
        <f>IF(G130&gt;'(검증1)이상치 검정'!$G$10,"Alert","")</f>
        <v/>
      </c>
    </row>
    <row r="131" spans="1:8" s="55" customFormat="1">
      <c r="A131" s="57" t="s">
        <v>106</v>
      </c>
      <c r="B131" s="57">
        <v>2</v>
      </c>
      <c r="C131" s="57" t="s">
        <v>108</v>
      </c>
      <c r="D131" s="58">
        <v>44.6</v>
      </c>
      <c r="E131" s="59">
        <v>44423.170891203707</v>
      </c>
      <c r="G131" s="55">
        <f>ABS((D131-'(검증1)이상치 검정'!$E$10)/'(검증1)이상치 검정'!$F$10)</f>
        <v>0.78859442602034069</v>
      </c>
      <c r="H131" s="25" t="str">
        <f>IF(G131&gt;'(검증1)이상치 검정'!$G$10,"Alert","")</f>
        <v/>
      </c>
    </row>
    <row r="132" spans="1:8" s="55" customFormat="1">
      <c r="A132" s="57" t="s">
        <v>106</v>
      </c>
      <c r="B132" s="57">
        <v>3</v>
      </c>
      <c r="C132" s="57" t="s">
        <v>109</v>
      </c>
      <c r="D132" s="58">
        <v>46.1</v>
      </c>
      <c r="E132" s="59">
        <v>44423.171585648146</v>
      </c>
      <c r="G132" s="55">
        <f>ABS((D132-'(검증1)이상치 검정'!$E$10)/'(검증1)이상치 검정'!$F$10)</f>
        <v>1.2356051701815738</v>
      </c>
      <c r="H132" s="25" t="str">
        <f>IF(G132&gt;'(검증1)이상치 검정'!$G$10,"Alert","")</f>
        <v/>
      </c>
    </row>
    <row r="133" spans="1:8" s="55" customFormat="1">
      <c r="A133" s="57" t="s">
        <v>106</v>
      </c>
      <c r="B133" s="57">
        <v>4</v>
      </c>
      <c r="C133" s="57" t="s">
        <v>110</v>
      </c>
      <c r="D133" s="58">
        <v>44.3</v>
      </c>
      <c r="E133" s="59">
        <v>44423.172280092593</v>
      </c>
      <c r="G133" s="55">
        <f>ABS((D133-'(검증1)이상치 검정'!$E$10)/'(검증1)이상치 검정'!$F$10)</f>
        <v>1.1934343452607292</v>
      </c>
      <c r="H133" s="25" t="str">
        <f>IF(G133&gt;'(검증1)이상치 검정'!$G$10,"Alert","")</f>
        <v/>
      </c>
    </row>
    <row r="134" spans="1:8" s="55" customFormat="1">
      <c r="A134" s="57" t="s">
        <v>106</v>
      </c>
      <c r="B134" s="57">
        <v>5</v>
      </c>
      <c r="C134" s="57" t="s">
        <v>111</v>
      </c>
      <c r="D134" s="58">
        <v>46</v>
      </c>
      <c r="E134" s="59">
        <v>44423.172974537039</v>
      </c>
      <c r="G134" s="55">
        <f>ABS((D134-'(검증1)이상치 검정'!$E$10)/'(검증1)이상치 검정'!$F$10)</f>
        <v>1.1006585304347776</v>
      </c>
      <c r="H134" s="25" t="str">
        <f>IF(G134&gt;'(검증1)이상치 검정'!$G$10,"Alert","")</f>
        <v/>
      </c>
    </row>
    <row r="135" spans="1:8" s="55" customFormat="1">
      <c r="A135" s="57" t="s">
        <v>106</v>
      </c>
      <c r="B135" s="57">
        <v>6</v>
      </c>
      <c r="C135" s="57" t="s">
        <v>112</v>
      </c>
      <c r="D135" s="58">
        <v>45</v>
      </c>
      <c r="E135" s="59">
        <v>44423.173668981479</v>
      </c>
      <c r="G135" s="55">
        <f>ABS((D135-'(검증1)이상치 검정'!$E$10)/'(검증1)이상치 검정'!$F$10)</f>
        <v>0.2488078670331654</v>
      </c>
      <c r="H135" s="25" t="str">
        <f>IF(G135&gt;'(검증1)이상치 검정'!$G$10,"Alert","")</f>
        <v/>
      </c>
    </row>
    <row r="136" spans="1:8" s="55" customFormat="1">
      <c r="A136" s="57" t="s">
        <v>106</v>
      </c>
      <c r="B136" s="57">
        <v>7</v>
      </c>
      <c r="C136" s="57" t="s">
        <v>113</v>
      </c>
      <c r="D136" s="58">
        <v>44.5</v>
      </c>
      <c r="E136" s="59">
        <v>44423.174363425926</v>
      </c>
      <c r="G136" s="55">
        <f>ABS((D136-'(검증1)이상치 검정'!$E$10)/'(검증1)이상치 검정'!$F$10)</f>
        <v>0.9235410657671369</v>
      </c>
      <c r="H136" s="25" t="str">
        <f>IF(G136&gt;'(검증1)이상치 검정'!$G$10,"Alert","")</f>
        <v/>
      </c>
    </row>
    <row r="137" spans="1:8" s="55" customFormat="1">
      <c r="A137" s="57" t="s">
        <v>106</v>
      </c>
      <c r="B137" s="57">
        <v>8</v>
      </c>
      <c r="C137" s="57" t="s">
        <v>114</v>
      </c>
      <c r="D137" s="58">
        <v>45.8</v>
      </c>
      <c r="E137" s="59">
        <v>44423.175057870372</v>
      </c>
      <c r="G137" s="55">
        <f>ABS((D137-'(검증1)이상치 검정'!$E$10)/'(검증1)이상치 검정'!$F$10)</f>
        <v>0.83076525094118514</v>
      </c>
      <c r="H137" s="25" t="str">
        <f>IF(G137&gt;'(검증1)이상치 검정'!$G$10,"Alert","")</f>
        <v/>
      </c>
    </row>
    <row r="138" spans="1:8" s="55" customFormat="1">
      <c r="A138" s="57" t="s">
        <v>106</v>
      </c>
      <c r="B138" s="57">
        <v>9</v>
      </c>
      <c r="C138" s="57" t="s">
        <v>115</v>
      </c>
      <c r="D138" s="58">
        <v>44.3</v>
      </c>
      <c r="E138" s="59">
        <v>44423.175752314812</v>
      </c>
      <c r="G138" s="55">
        <f>ABS((D138-'(검증1)이상치 검정'!$E$10)/'(검증1)이상치 검정'!$F$10)</f>
        <v>1.1934343452607292</v>
      </c>
      <c r="H138" s="25" t="str">
        <f>IF(G138&gt;'(검증1)이상치 검정'!$G$10,"Alert","")</f>
        <v/>
      </c>
    </row>
    <row r="139" spans="1:8" s="55" customFormat="1">
      <c r="A139" s="57" t="s">
        <v>106</v>
      </c>
      <c r="B139" s="57">
        <v>10</v>
      </c>
      <c r="C139" s="57" t="s">
        <v>116</v>
      </c>
      <c r="D139" s="58">
        <v>45.9</v>
      </c>
      <c r="E139" s="59">
        <v>44423.176446759258</v>
      </c>
      <c r="G139" s="55">
        <f>ABS((D139-'(검증1)이상치 검정'!$E$10)/'(검증1)이상치 검정'!$F$10)</f>
        <v>0.96571189068798136</v>
      </c>
      <c r="H139" s="25" t="str">
        <f>IF(G139&gt;'(검증1)이상치 검정'!$G$10,"Alert","")</f>
        <v/>
      </c>
    </row>
    <row r="140" spans="1:8" s="55" customFormat="1">
      <c r="A140" s="57" t="s">
        <v>106</v>
      </c>
      <c r="B140" s="57">
        <v>11</v>
      </c>
      <c r="C140" s="57" t="s">
        <v>117</v>
      </c>
      <c r="D140" s="58">
        <v>45.3</v>
      </c>
      <c r="E140" s="59">
        <v>44423.177141203705</v>
      </c>
      <c r="G140" s="55">
        <f>ABS((D140-'(검증1)이상치 검정'!$E$10)/'(검증1)이상치 검정'!$F$10)</f>
        <v>0.15603205220721364</v>
      </c>
      <c r="H140" s="25" t="str">
        <f>IF(G140&gt;'(검증1)이상치 검정'!$G$10,"Alert","")</f>
        <v/>
      </c>
    </row>
    <row r="141" spans="1:8" s="55" customFormat="1">
      <c r="A141" s="57" t="s">
        <v>106</v>
      </c>
      <c r="B141" s="57">
        <v>12</v>
      </c>
      <c r="C141" s="57" t="s">
        <v>118</v>
      </c>
      <c r="D141" s="58">
        <v>44.5</v>
      </c>
      <c r="E141" s="59">
        <v>44423.177835648145</v>
      </c>
      <c r="G141" s="55">
        <f>ABS((D141-'(검증1)이상치 검정'!$E$10)/'(검증1)이상치 검정'!$F$10)</f>
        <v>0.9235410657671369</v>
      </c>
      <c r="H141" s="25" t="str">
        <f>IF(G141&gt;'(검증1)이상치 검정'!$G$10,"Alert","")</f>
        <v/>
      </c>
    </row>
    <row r="142" spans="1:8" s="55" customFormat="1">
      <c r="A142" s="57" t="s">
        <v>106</v>
      </c>
      <c r="B142" s="57">
        <v>13</v>
      </c>
      <c r="C142" s="57" t="s">
        <v>119</v>
      </c>
      <c r="D142" s="58">
        <v>45.8</v>
      </c>
      <c r="E142" s="59">
        <v>44423.178530092591</v>
      </c>
      <c r="G142" s="55">
        <f>ABS((D142-'(검증1)이상치 검정'!$E$10)/'(검증1)이상치 검정'!$F$10)</f>
        <v>0.83076525094118514</v>
      </c>
      <c r="H142" s="25" t="str">
        <f>IF(G142&gt;'(검증1)이상치 검정'!$G$10,"Alert","")</f>
        <v/>
      </c>
    </row>
    <row r="143" spans="1:8" s="55" customFormat="1">
      <c r="A143" s="57" t="s">
        <v>106</v>
      </c>
      <c r="B143" s="57">
        <v>14</v>
      </c>
      <c r="C143" s="57" t="s">
        <v>120</v>
      </c>
      <c r="D143" s="58">
        <v>44.3</v>
      </c>
      <c r="E143" s="59">
        <v>44423.179224537038</v>
      </c>
      <c r="G143" s="55">
        <f>ABS((D143-'(검증1)이상치 검정'!$E$10)/'(검증1)이상치 검정'!$F$10)</f>
        <v>1.1934343452607292</v>
      </c>
      <c r="H143" s="25" t="str">
        <f>IF(G143&gt;'(검증1)이상치 검정'!$G$10,"Alert","")</f>
        <v/>
      </c>
    </row>
    <row r="144" spans="1:8" s="55" customFormat="1">
      <c r="A144" s="57" t="s">
        <v>106</v>
      </c>
      <c r="B144" s="57">
        <v>15</v>
      </c>
      <c r="C144" s="57" t="s">
        <v>121</v>
      </c>
      <c r="D144" s="58">
        <v>46.1</v>
      </c>
      <c r="E144" s="59">
        <v>44423.179918981485</v>
      </c>
      <c r="G144" s="55">
        <f>ABS((D144-'(검증1)이상치 검정'!$E$10)/'(검증1)이상치 검정'!$F$10)</f>
        <v>1.2356051701815738</v>
      </c>
      <c r="H144" s="25" t="str">
        <f>IF(G144&gt;'(검증1)이상치 검정'!$G$10,"Alert","")</f>
        <v/>
      </c>
    </row>
    <row r="145" spans="1:8" s="55" customFormat="1">
      <c r="A145" s="57" t="s">
        <v>106</v>
      </c>
      <c r="B145" s="57">
        <v>16</v>
      </c>
      <c r="C145" s="57" t="s">
        <v>122</v>
      </c>
      <c r="D145" s="58">
        <v>45.2</v>
      </c>
      <c r="E145" s="59">
        <v>44423.180613425924</v>
      </c>
      <c r="G145" s="55">
        <f>ABS((D145-'(검증1)이상치 검정'!$E$10)/'(검증1)이상치 검정'!$F$10)</f>
        <v>2.1085412460427021E-2</v>
      </c>
      <c r="H145" s="25" t="str">
        <f>IF(G145&gt;'(검증1)이상치 검정'!$G$10,"Alert","")</f>
        <v/>
      </c>
    </row>
    <row r="146" spans="1:8" s="55" customFormat="1">
      <c r="A146" s="57" t="s">
        <v>106</v>
      </c>
      <c r="B146" s="57">
        <v>17</v>
      </c>
      <c r="C146" s="57" t="s">
        <v>123</v>
      </c>
      <c r="D146" s="58">
        <v>44.7</v>
      </c>
      <c r="E146" s="59">
        <v>44423.181307870371</v>
      </c>
      <c r="G146" s="55">
        <f>ABS((D146-'(검증1)이상치 검정'!$E$10)/'(검증1)이상치 검정'!$F$10)</f>
        <v>0.65364778627354447</v>
      </c>
      <c r="H146" s="25" t="str">
        <f>IF(G146&gt;'(검증1)이상치 검정'!$G$10,"Alert","")</f>
        <v/>
      </c>
    </row>
    <row r="147" spans="1:8" s="55" customFormat="1">
      <c r="A147" s="57" t="s">
        <v>106</v>
      </c>
      <c r="B147" s="57">
        <v>18</v>
      </c>
      <c r="C147" s="57" t="s">
        <v>124</v>
      </c>
      <c r="D147" s="58">
        <v>46.1</v>
      </c>
      <c r="E147" s="59">
        <v>44423.182002314818</v>
      </c>
      <c r="G147" s="55">
        <f>ABS((D147-'(검증1)이상치 검정'!$E$10)/'(검증1)이상치 검정'!$F$10)</f>
        <v>1.2356051701815738</v>
      </c>
      <c r="H147" s="25" t="str">
        <f>IF(G147&gt;'(검증1)이상치 검정'!$G$10,"Alert","")</f>
        <v/>
      </c>
    </row>
    <row r="148" spans="1:8" s="55" customFormat="1">
      <c r="A148" s="57" t="s">
        <v>106</v>
      </c>
      <c r="B148" s="57">
        <v>19</v>
      </c>
      <c r="C148" s="57" t="s">
        <v>125</v>
      </c>
      <c r="D148" s="58">
        <v>44.4</v>
      </c>
      <c r="E148" s="59">
        <v>44423.182696759257</v>
      </c>
      <c r="G148" s="55">
        <f>ABS((D148-'(검증1)이상치 검정'!$E$10)/'(검증1)이상치 검정'!$F$10)</f>
        <v>1.058487705513933</v>
      </c>
      <c r="H148" s="25" t="str">
        <f>IF(G148&gt;'(검증1)이상치 검정'!$G$10,"Alert","")</f>
        <v/>
      </c>
    </row>
    <row r="149" spans="1:8" s="55" customFormat="1">
      <c r="A149" s="57" t="s">
        <v>106</v>
      </c>
      <c r="B149" s="57">
        <v>20</v>
      </c>
      <c r="C149" s="57" t="s">
        <v>126</v>
      </c>
      <c r="D149" s="58">
        <v>46.2</v>
      </c>
      <c r="E149" s="59">
        <v>44423.183391203704</v>
      </c>
      <c r="G149" s="55">
        <f>ABS((D149-'(검증1)이상치 검정'!$E$10)/'(검증1)이상치 검정'!$F$10)</f>
        <v>1.37055180992837</v>
      </c>
      <c r="H149" s="25" t="str">
        <f>IF(G149&gt;'(검증1)이상치 검정'!$G$10,"Alert","")</f>
        <v/>
      </c>
    </row>
    <row r="150" spans="1:8" s="55" customFormat="1">
      <c r="A150" s="57" t="s">
        <v>106</v>
      </c>
      <c r="B150" s="57">
        <v>21</v>
      </c>
      <c r="C150" s="57" t="s">
        <v>127</v>
      </c>
      <c r="D150" s="58">
        <v>45.8</v>
      </c>
      <c r="E150" s="59">
        <v>44423.18408564815</v>
      </c>
      <c r="G150" s="55">
        <f>ABS((D150-'(검증1)이상치 검정'!$E$10)/'(검증1)이상치 검정'!$F$10)</f>
        <v>0.83076525094118514</v>
      </c>
      <c r="H150" s="25" t="str">
        <f>IF(G150&gt;'(검증1)이상치 검정'!$G$10,"Alert","")</f>
        <v/>
      </c>
    </row>
    <row r="151" spans="1:8" s="55" customFormat="1">
      <c r="A151" s="57" t="s">
        <v>106</v>
      </c>
      <c r="B151" s="57">
        <v>22</v>
      </c>
      <c r="C151" s="57" t="s">
        <v>128</v>
      </c>
      <c r="D151" s="58">
        <v>44.3</v>
      </c>
      <c r="E151" s="59">
        <v>44423.18476851852</v>
      </c>
      <c r="G151" s="55">
        <f>ABS((D151-'(검증1)이상치 검정'!$E$10)/'(검증1)이상치 검정'!$F$10)</f>
        <v>1.1934343452607292</v>
      </c>
      <c r="H151" s="25" t="str">
        <f>IF(G151&gt;'(검증1)이상치 검정'!$G$10,"Alert","")</f>
        <v/>
      </c>
    </row>
    <row r="152" spans="1:8" s="55" customFormat="1">
      <c r="A152" s="57" t="s">
        <v>106</v>
      </c>
      <c r="B152" s="57">
        <v>23</v>
      </c>
      <c r="C152" s="57" t="s">
        <v>129</v>
      </c>
      <c r="D152" s="58">
        <v>45.9</v>
      </c>
      <c r="E152" s="59">
        <v>44423.185474537036</v>
      </c>
      <c r="G152" s="55">
        <f>ABS((D152-'(검증1)이상치 검정'!$E$10)/'(검증1)이상치 검정'!$F$10)</f>
        <v>0.96571189068798136</v>
      </c>
      <c r="H152" s="25" t="str">
        <f>IF(G152&gt;'(검증1)이상치 검정'!$G$10,"Alert","")</f>
        <v/>
      </c>
    </row>
    <row r="153" spans="1:8" s="55" customFormat="1">
      <c r="A153" s="57" t="s">
        <v>106</v>
      </c>
      <c r="B153" s="57">
        <v>24</v>
      </c>
      <c r="C153" s="57" t="s">
        <v>130</v>
      </c>
      <c r="D153" s="58">
        <v>44.6</v>
      </c>
      <c r="E153" s="59">
        <v>44423.186168981483</v>
      </c>
      <c r="G153" s="55">
        <f>ABS((D153-'(검증1)이상치 검정'!$E$10)/'(검증1)이상치 검정'!$F$10)</f>
        <v>0.78859442602034069</v>
      </c>
      <c r="H153" s="25" t="str">
        <f>IF(G153&gt;'(검증1)이상치 검정'!$G$10,"Alert","")</f>
        <v/>
      </c>
    </row>
    <row r="154" spans="1:8" s="55" customFormat="1">
      <c r="A154" s="57" t="s">
        <v>106</v>
      </c>
      <c r="B154" s="57">
        <v>25</v>
      </c>
      <c r="C154" s="57" t="s">
        <v>131</v>
      </c>
      <c r="D154" s="58">
        <v>46.1</v>
      </c>
      <c r="E154" s="59">
        <v>44423.186863425923</v>
      </c>
      <c r="G154" s="55">
        <f>ABS((D154-'(검증1)이상치 검정'!$E$10)/'(검증1)이상치 검정'!$F$10)</f>
        <v>1.2356051701815738</v>
      </c>
      <c r="H154" s="25" t="str">
        <f>IF(G154&gt;'(검증1)이상치 검정'!$G$10,"Alert","")</f>
        <v/>
      </c>
    </row>
    <row r="155" spans="1:8" s="55" customFormat="1">
      <c r="A155" s="57" t="s">
        <v>106</v>
      </c>
      <c r="B155" s="57">
        <v>26</v>
      </c>
      <c r="C155" s="57" t="s">
        <v>132</v>
      </c>
      <c r="D155" s="58">
        <v>45.2</v>
      </c>
      <c r="E155" s="59">
        <v>44423.187557870369</v>
      </c>
      <c r="G155" s="55">
        <f>ABS((D155-'(검증1)이상치 검정'!$E$10)/'(검증1)이상치 검정'!$F$10)</f>
        <v>2.1085412460427021E-2</v>
      </c>
      <c r="H155" s="25" t="str">
        <f>IF(G155&gt;'(검증1)이상치 검정'!$G$10,"Alert","")</f>
        <v/>
      </c>
    </row>
    <row r="156" spans="1:8" s="55" customFormat="1">
      <c r="A156" s="57" t="s">
        <v>106</v>
      </c>
      <c r="B156" s="57">
        <v>27</v>
      </c>
      <c r="C156" s="57" t="s">
        <v>133</v>
      </c>
      <c r="D156" s="58">
        <v>44</v>
      </c>
      <c r="E156" s="59">
        <v>44423.188252314816</v>
      </c>
      <c r="G156" s="55">
        <f>ABS((D156-'(검증1)이상치 검정'!$E$10)/'(검증1)이상치 검정'!$F$10)</f>
        <v>1.5982742645011083</v>
      </c>
      <c r="H156" s="25" t="str">
        <f>IF(G156&gt;'(검증1)이상치 검정'!$G$10,"Alert","")</f>
        <v/>
      </c>
    </row>
    <row r="157" spans="1:8" s="55" customFormat="1">
      <c r="A157" s="57" t="s">
        <v>106</v>
      </c>
      <c r="B157" s="57">
        <v>28</v>
      </c>
      <c r="C157" s="57" t="s">
        <v>134</v>
      </c>
      <c r="D157" s="58">
        <v>46</v>
      </c>
      <c r="E157" s="59">
        <v>44423.188946759263</v>
      </c>
      <c r="G157" s="55">
        <f>ABS((D157-'(검증1)이상치 검정'!$E$10)/'(검증1)이상치 검정'!$F$10)</f>
        <v>1.1006585304347776</v>
      </c>
      <c r="H157" s="25" t="str">
        <f>IF(G157&gt;'(검증1)이상치 검정'!$G$10,"Alert","")</f>
        <v/>
      </c>
    </row>
    <row r="158" spans="1:8" s="55" customFormat="1">
      <c r="A158" s="57" t="s">
        <v>106</v>
      </c>
      <c r="B158" s="57">
        <v>29</v>
      </c>
      <c r="C158" s="57" t="s">
        <v>135</v>
      </c>
      <c r="D158" s="58">
        <v>44.4</v>
      </c>
      <c r="E158" s="59">
        <v>44423.189641203702</v>
      </c>
      <c r="G158" s="55">
        <f>ABS((D158-'(검증1)이상치 검정'!$E$10)/'(검증1)이상치 검정'!$F$10)</f>
        <v>1.058487705513933</v>
      </c>
      <c r="H158" s="25" t="str">
        <f>IF(G158&gt;'(검증1)이상치 검정'!$G$10,"Alert","")</f>
        <v/>
      </c>
    </row>
    <row r="159" spans="1:8" s="55" customFormat="1">
      <c r="A159" s="57" t="s">
        <v>106</v>
      </c>
      <c r="B159" s="57">
        <v>30</v>
      </c>
      <c r="C159" s="57" t="s">
        <v>136</v>
      </c>
      <c r="D159" s="58">
        <v>46.1</v>
      </c>
      <c r="E159" s="59">
        <v>44423.190335648149</v>
      </c>
      <c r="G159" s="55">
        <f>ABS((D159-'(검증1)이상치 검정'!$E$10)/'(검증1)이상치 검정'!$F$10)</f>
        <v>1.2356051701815738</v>
      </c>
      <c r="H159" s="25" t="str">
        <f>IF(G159&gt;'(검증1)이상치 검정'!$G$10,"Alert","")</f>
        <v/>
      </c>
    </row>
    <row r="160" spans="1:8" s="55" customFormat="1">
      <c r="A160" s="57" t="s">
        <v>106</v>
      </c>
      <c r="B160" s="57">
        <v>31</v>
      </c>
      <c r="C160" s="57" t="s">
        <v>137</v>
      </c>
      <c r="D160" s="58">
        <v>45.3</v>
      </c>
      <c r="E160" s="59">
        <v>44423.191030092596</v>
      </c>
      <c r="G160" s="55">
        <f>ABS((D160-'(검증1)이상치 검정'!$E$10)/'(검증1)이상치 검정'!$F$10)</f>
        <v>0.15603205220721364</v>
      </c>
      <c r="H160" s="25" t="str">
        <f>IF(G160&gt;'(검증1)이상치 검정'!$G$10,"Alert","")</f>
        <v/>
      </c>
    </row>
    <row r="161" spans="1:8" s="55" customFormat="1">
      <c r="A161" s="57" t="s">
        <v>106</v>
      </c>
      <c r="B161" s="57">
        <v>32</v>
      </c>
      <c r="C161" s="57" t="s">
        <v>138</v>
      </c>
      <c r="D161" s="58">
        <v>43.9</v>
      </c>
      <c r="E161" s="59">
        <v>44423.191724537035</v>
      </c>
      <c r="G161" s="55">
        <f>ABS((D161-'(검증1)이상치 검정'!$E$10)/'(검증1)이상치 검정'!$F$10)</f>
        <v>1.7332209042479045</v>
      </c>
      <c r="H161" s="25" t="str">
        <f>IF(G161&gt;'(검증1)이상치 검정'!$G$10,"Alert","")</f>
        <v>Alert</v>
      </c>
    </row>
    <row r="162" spans="1:8" s="55" customFormat="1">
      <c r="A162" s="57" t="s">
        <v>106</v>
      </c>
      <c r="B162" s="57">
        <v>33</v>
      </c>
      <c r="C162" s="57" t="s">
        <v>139</v>
      </c>
      <c r="D162" s="58">
        <v>45.9</v>
      </c>
      <c r="E162" s="59">
        <v>44423.192418981482</v>
      </c>
      <c r="G162" s="55">
        <f>ABS((D162-'(검증1)이상치 검정'!$E$10)/'(검증1)이상치 검정'!$F$10)</f>
        <v>0.96571189068798136</v>
      </c>
      <c r="H162" s="25" t="str">
        <f>IF(G162&gt;'(검증1)이상치 검정'!$G$10,"Alert","")</f>
        <v/>
      </c>
    </row>
    <row r="163" spans="1:8" s="55" customFormat="1">
      <c r="A163" s="57" t="s">
        <v>106</v>
      </c>
      <c r="B163" s="57">
        <v>34</v>
      </c>
      <c r="C163" s="57" t="s">
        <v>140</v>
      </c>
      <c r="D163" s="58">
        <v>44.3</v>
      </c>
      <c r="E163" s="59">
        <v>44423.193101851852</v>
      </c>
      <c r="G163" s="55">
        <f>ABS((D163-'(검증1)이상치 검정'!$E$10)/'(검증1)이상치 검정'!$F$10)</f>
        <v>1.1934343452607292</v>
      </c>
      <c r="H163" s="25" t="str">
        <f>IF(G163&gt;'(검증1)이상치 검정'!$G$10,"Alert","")</f>
        <v/>
      </c>
    </row>
    <row r="164" spans="1:8" s="55" customFormat="1">
      <c r="A164" s="57" t="s">
        <v>106</v>
      </c>
      <c r="B164" s="57">
        <v>35</v>
      </c>
      <c r="C164" s="57" t="s">
        <v>141</v>
      </c>
      <c r="D164" s="58">
        <v>45.6</v>
      </c>
      <c r="E164" s="59">
        <v>44423.193807870368</v>
      </c>
      <c r="G164" s="55">
        <f>ABS((D164-'(검증1)이상치 검정'!$E$10)/'(검증1)이상치 검정'!$F$10)</f>
        <v>0.56087197144760226</v>
      </c>
      <c r="H164" s="25" t="str">
        <f>IF(G164&gt;'(검증1)이상치 검정'!$G$10,"Alert","")</f>
        <v/>
      </c>
    </row>
    <row r="165" spans="1:8" s="55" customFormat="1">
      <c r="A165" s="57" t="s">
        <v>106</v>
      </c>
      <c r="B165" s="57">
        <v>36</v>
      </c>
      <c r="C165" s="57" t="s">
        <v>142</v>
      </c>
      <c r="D165" s="58">
        <v>45.3</v>
      </c>
      <c r="E165" s="59">
        <v>44423.194490740738</v>
      </c>
      <c r="G165" s="55">
        <f>ABS((D165-'(검증1)이상치 검정'!$E$10)/'(검증1)이상치 검정'!$F$10)</f>
        <v>0.15603205220721364</v>
      </c>
      <c r="H165" s="25" t="str">
        <f>IF(G165&gt;'(검증1)이상치 검정'!$G$10,"Alert","")</f>
        <v/>
      </c>
    </row>
    <row r="166" spans="1:8" s="55" customFormat="1">
      <c r="A166" s="57" t="s">
        <v>106</v>
      </c>
      <c r="B166" s="57">
        <v>37</v>
      </c>
      <c r="C166" s="57" t="s">
        <v>143</v>
      </c>
      <c r="D166" s="58">
        <v>44.4</v>
      </c>
      <c r="E166" s="59">
        <v>44423.195196759261</v>
      </c>
      <c r="G166" s="55">
        <f>ABS((D166-'(검증1)이상치 검정'!$E$10)/'(검증1)이상치 검정'!$F$10)</f>
        <v>1.058487705513933</v>
      </c>
      <c r="H166" s="25" t="str">
        <f>IF(G166&gt;'(검증1)이상치 검정'!$G$10,"Alert","")</f>
        <v/>
      </c>
    </row>
    <row r="167" spans="1:8" s="55" customFormat="1">
      <c r="A167" s="57" t="s">
        <v>106</v>
      </c>
      <c r="B167" s="57">
        <v>38</v>
      </c>
      <c r="C167" s="57" t="s">
        <v>144</v>
      </c>
      <c r="D167" s="58">
        <v>46.2</v>
      </c>
      <c r="E167" s="59">
        <v>44423.195891203701</v>
      </c>
      <c r="G167" s="55">
        <f>ABS((D167-'(검증1)이상치 검정'!$E$10)/'(검증1)이상치 검정'!$F$10)</f>
        <v>1.37055180992837</v>
      </c>
      <c r="H167" s="25" t="str">
        <f>IF(G167&gt;'(검증1)이상치 검정'!$G$10,"Alert","")</f>
        <v/>
      </c>
    </row>
    <row r="168" spans="1:8" s="55" customFormat="1">
      <c r="A168" s="57" t="s">
        <v>106</v>
      </c>
      <c r="B168" s="57">
        <v>39</v>
      </c>
      <c r="C168" s="57" t="s">
        <v>145</v>
      </c>
      <c r="D168" s="58">
        <v>44.6</v>
      </c>
      <c r="E168" s="59">
        <v>44423.196574074071</v>
      </c>
      <c r="G168" s="55">
        <f>ABS((D168-'(검증1)이상치 검정'!$E$10)/'(검증1)이상치 검정'!$F$10)</f>
        <v>0.78859442602034069</v>
      </c>
      <c r="H168" s="25" t="str">
        <f>IF(G168&gt;'(검증1)이상치 검정'!$G$10,"Alert","")</f>
        <v/>
      </c>
    </row>
    <row r="169" spans="1:8" s="55" customFormat="1">
      <c r="A169" s="57" t="s">
        <v>106</v>
      </c>
      <c r="B169" s="57">
        <v>40</v>
      </c>
      <c r="C169" s="57" t="s">
        <v>146</v>
      </c>
      <c r="D169" s="58">
        <v>46.3</v>
      </c>
      <c r="E169" s="59">
        <v>44423.197268518517</v>
      </c>
      <c r="G169" s="55">
        <f>ABS((D169-'(검증1)이상치 검정'!$E$10)/'(검증1)이상치 검정'!$F$10)</f>
        <v>1.5054984496751567</v>
      </c>
      <c r="H169" s="25" t="str">
        <f>IF(G169&gt;'(검증1)이상치 검정'!$G$10,"Alert","")</f>
        <v/>
      </c>
    </row>
    <row r="170" spans="1:8" s="55" customFormat="1">
      <c r="A170" s="57" t="s">
        <v>106</v>
      </c>
      <c r="B170" s="57">
        <v>41</v>
      </c>
      <c r="C170" s="57" t="s">
        <v>147</v>
      </c>
      <c r="D170" s="58">
        <v>45.2</v>
      </c>
      <c r="E170" s="59">
        <v>44423.197974537034</v>
      </c>
      <c r="G170" s="55">
        <f>ABS((D170-'(검증1)이상치 검정'!$E$10)/'(검증1)이상치 검정'!$F$10)</f>
        <v>2.1085412460427021E-2</v>
      </c>
      <c r="H170" s="25" t="str">
        <f>IF(G170&gt;'(검증1)이상치 검정'!$G$10,"Alert","")</f>
        <v/>
      </c>
    </row>
    <row r="171" spans="1:8" s="55" customFormat="1">
      <c r="A171" s="57" t="s">
        <v>106</v>
      </c>
      <c r="B171" s="57">
        <v>42</v>
      </c>
      <c r="C171" s="57" t="s">
        <v>148</v>
      </c>
      <c r="D171" s="58">
        <v>44.4</v>
      </c>
      <c r="E171" s="59">
        <v>44423.19866898148</v>
      </c>
      <c r="G171" s="55">
        <f>ABS((D171-'(검증1)이상치 검정'!$E$10)/'(검증1)이상치 검정'!$F$10)</f>
        <v>1.058487705513933</v>
      </c>
      <c r="H171" s="25" t="str">
        <f>IF(G171&gt;'(검증1)이상치 검정'!$G$10,"Alert","")</f>
        <v/>
      </c>
    </row>
    <row r="172" spans="1:8" s="55" customFormat="1">
      <c r="A172" s="57" t="s">
        <v>106</v>
      </c>
      <c r="B172" s="57">
        <v>43</v>
      </c>
      <c r="C172" s="57" t="s">
        <v>149</v>
      </c>
      <c r="D172" s="58">
        <v>45.9</v>
      </c>
      <c r="E172" s="59">
        <v>44423.19935185185</v>
      </c>
      <c r="G172" s="55">
        <f>ABS((D172-'(검증1)이상치 검정'!$E$10)/'(검증1)이상치 검정'!$F$10)</f>
        <v>0.96571189068798136</v>
      </c>
      <c r="H172" s="25" t="str">
        <f>IF(G172&gt;'(검증1)이상치 검정'!$G$10,"Alert","")</f>
        <v/>
      </c>
    </row>
    <row r="173" spans="1:8" s="55" customFormat="1">
      <c r="A173" s="57" t="s">
        <v>106</v>
      </c>
      <c r="B173" s="57">
        <v>44</v>
      </c>
      <c r="C173" s="57" t="s">
        <v>150</v>
      </c>
      <c r="D173" s="58">
        <v>44.4</v>
      </c>
      <c r="E173" s="59">
        <v>44423.200057870374</v>
      </c>
      <c r="G173" s="55">
        <f>ABS((D173-'(검증1)이상치 검정'!$E$10)/'(검증1)이상치 검정'!$F$10)</f>
        <v>1.058487705513933</v>
      </c>
      <c r="H173" s="25" t="str">
        <f>IF(G173&gt;'(검증1)이상치 검정'!$G$10,"Alert","")</f>
        <v/>
      </c>
    </row>
    <row r="174" spans="1:8" s="55" customFormat="1">
      <c r="A174" s="57" t="s">
        <v>106</v>
      </c>
      <c r="B174" s="57">
        <v>45</v>
      </c>
      <c r="C174" s="57" t="s">
        <v>151</v>
      </c>
      <c r="D174" s="58">
        <v>45.9</v>
      </c>
      <c r="E174" s="59">
        <v>44423.200752314813</v>
      </c>
      <c r="G174" s="55">
        <f>ABS((D174-'(검증1)이상치 검정'!$E$10)/'(검증1)이상치 검정'!$F$10)</f>
        <v>0.96571189068798136</v>
      </c>
      <c r="H174" s="25" t="str">
        <f>IF(G174&gt;'(검증1)이상치 검정'!$G$10,"Alert","")</f>
        <v/>
      </c>
    </row>
    <row r="175" spans="1:8" s="55" customFormat="1">
      <c r="A175" s="57" t="s">
        <v>106</v>
      </c>
      <c r="B175" s="57">
        <v>46</v>
      </c>
      <c r="C175" s="57" t="s">
        <v>152</v>
      </c>
      <c r="D175" s="58">
        <v>45.1</v>
      </c>
      <c r="E175" s="59">
        <v>44423.20144675926</v>
      </c>
      <c r="G175" s="55">
        <f>ABS((D175-'(검증1)이상치 검정'!$E$10)/'(검증1)이상치 검정'!$F$10)</f>
        <v>0.11386122728636919</v>
      </c>
      <c r="H175" s="25" t="str">
        <f>IF(G175&gt;'(검증1)이상치 검정'!$G$10,"Alert","")</f>
        <v/>
      </c>
    </row>
    <row r="176" spans="1:8" s="55" customFormat="1">
      <c r="A176" s="57" t="s">
        <v>106</v>
      </c>
      <c r="B176" s="57">
        <v>47</v>
      </c>
      <c r="C176" s="57" t="s">
        <v>153</v>
      </c>
      <c r="D176" s="58">
        <v>44.3</v>
      </c>
      <c r="E176" s="59">
        <v>44423.202141203707</v>
      </c>
      <c r="G176" s="55">
        <f>ABS((D176-'(검증1)이상치 검정'!$E$10)/'(검증1)이상치 검정'!$F$10)</f>
        <v>1.1934343452607292</v>
      </c>
      <c r="H176" s="25" t="str">
        <f>IF(G176&gt;'(검증1)이상치 검정'!$G$10,"Alert","")</f>
        <v/>
      </c>
    </row>
    <row r="177" spans="1:8" s="55" customFormat="1">
      <c r="A177" s="57" t="s">
        <v>106</v>
      </c>
      <c r="B177" s="57">
        <v>48</v>
      </c>
      <c r="C177" s="57" t="s">
        <v>154</v>
      </c>
      <c r="D177" s="58">
        <v>46</v>
      </c>
      <c r="E177" s="59">
        <v>44423.202824074076</v>
      </c>
      <c r="G177" s="55">
        <f>ABS((D177-'(검증1)이상치 검정'!$E$10)/'(검증1)이상치 검정'!$F$10)</f>
        <v>1.1006585304347776</v>
      </c>
      <c r="H177" s="25" t="str">
        <f>IF(G177&gt;'(검증1)이상치 검정'!$G$10,"Alert","")</f>
        <v/>
      </c>
    </row>
    <row r="178" spans="1:8" s="55" customFormat="1">
      <c r="A178" s="57" t="s">
        <v>106</v>
      </c>
      <c r="B178" s="57">
        <v>49</v>
      </c>
      <c r="C178" s="57" t="s">
        <v>155</v>
      </c>
      <c r="D178" s="58">
        <v>44.3</v>
      </c>
      <c r="E178" s="59">
        <v>44423.203530092593</v>
      </c>
      <c r="G178" s="55">
        <f>ABS((D178-'(검증1)이상치 검정'!$E$10)/'(검증1)이상치 검정'!$F$10)</f>
        <v>1.1934343452607292</v>
      </c>
      <c r="H178" s="25" t="str">
        <f>IF(G178&gt;'(검증1)이상치 검정'!$G$10,"Alert","")</f>
        <v/>
      </c>
    </row>
    <row r="179" spans="1:8" s="55" customFormat="1">
      <c r="A179" s="57" t="s">
        <v>106</v>
      </c>
      <c r="B179" s="57">
        <v>50</v>
      </c>
      <c r="C179" s="57" t="s">
        <v>156</v>
      </c>
      <c r="D179" s="58">
        <v>45.6</v>
      </c>
      <c r="E179" s="59">
        <v>44423.204212962963</v>
      </c>
      <c r="G179" s="55">
        <f>ABS((D179-'(검증1)이상치 검정'!$E$10)/'(검증1)이상치 검정'!$F$10)</f>
        <v>0.56087197144760226</v>
      </c>
      <c r="H179" s="25" t="str">
        <f>IF(G179&gt;'(검증1)이상치 검정'!$G$10,"Alert","")</f>
        <v/>
      </c>
    </row>
    <row r="180" spans="1:8" s="55" customFormat="1">
      <c r="A180" s="57" t="s">
        <v>106</v>
      </c>
      <c r="B180" s="57">
        <v>51</v>
      </c>
      <c r="C180" s="57" t="s">
        <v>157</v>
      </c>
      <c r="D180" s="58">
        <v>45</v>
      </c>
      <c r="E180" s="59">
        <v>44423.204907407409</v>
      </c>
      <c r="G180" s="55">
        <f>ABS((D180-'(검증1)이상치 검정'!$E$10)/'(검증1)이상치 검정'!$F$10)</f>
        <v>0.2488078670331654</v>
      </c>
      <c r="H180" s="25" t="str">
        <f>IF(G180&gt;'(검증1)이상치 검정'!$G$10,"Alert","")</f>
        <v/>
      </c>
    </row>
    <row r="181" spans="1:8" s="55" customFormat="1">
      <c r="A181" s="57" t="s">
        <v>106</v>
      </c>
      <c r="B181" s="57">
        <v>52</v>
      </c>
      <c r="C181" s="57" t="s">
        <v>158</v>
      </c>
      <c r="D181" s="58">
        <v>44</v>
      </c>
      <c r="E181" s="59">
        <v>44423.205613425926</v>
      </c>
      <c r="G181" s="55">
        <f>ABS((D181-'(검증1)이상치 검정'!$E$10)/'(검증1)이상치 검정'!$F$10)</f>
        <v>1.5982742645011083</v>
      </c>
      <c r="H181" s="25" t="str">
        <f>IF(G181&gt;'(검증1)이상치 검정'!$G$10,"Alert","")</f>
        <v/>
      </c>
    </row>
    <row r="182" spans="1:8" s="55" customFormat="1">
      <c r="A182" s="57" t="s">
        <v>106</v>
      </c>
      <c r="B182" s="57">
        <v>53</v>
      </c>
      <c r="C182" s="57" t="s">
        <v>159</v>
      </c>
      <c r="D182" s="58">
        <v>46.1</v>
      </c>
      <c r="E182" s="59">
        <v>44423.206296296295</v>
      </c>
      <c r="G182" s="55">
        <f>ABS((D182-'(검증1)이상치 검정'!$E$10)/'(검증1)이상치 검정'!$F$10)</f>
        <v>1.2356051701815738</v>
      </c>
      <c r="H182" s="25" t="str">
        <f>IF(G182&gt;'(검증1)이상치 검정'!$G$10,"Alert","")</f>
        <v/>
      </c>
    </row>
    <row r="183" spans="1:8" s="55" customFormat="1">
      <c r="A183" s="57" t="s">
        <v>106</v>
      </c>
      <c r="B183" s="57">
        <v>54</v>
      </c>
      <c r="C183" s="57" t="s">
        <v>160</v>
      </c>
      <c r="D183" s="58">
        <v>44.5</v>
      </c>
      <c r="E183" s="59">
        <v>44423.207002314812</v>
      </c>
      <c r="G183" s="55">
        <f>ABS((D183-'(검증1)이상치 검정'!$E$10)/'(검증1)이상치 검정'!$F$10)</f>
        <v>0.9235410657671369</v>
      </c>
      <c r="H183" s="25" t="str">
        <f>IF(G183&gt;'(검증1)이상치 검정'!$G$10,"Alert","")</f>
        <v/>
      </c>
    </row>
    <row r="184" spans="1:8" s="55" customFormat="1">
      <c r="A184" s="57" t="s">
        <v>106</v>
      </c>
      <c r="B184" s="57">
        <v>55</v>
      </c>
      <c r="C184" s="57" t="s">
        <v>161</v>
      </c>
      <c r="D184" s="58">
        <v>45.6</v>
      </c>
      <c r="E184" s="59">
        <v>44423.207685185182</v>
      </c>
      <c r="G184" s="55">
        <f>ABS((D184-'(검증1)이상치 검정'!$E$10)/'(검증1)이상치 검정'!$F$10)</f>
        <v>0.56087197144760226</v>
      </c>
      <c r="H184" s="25" t="str">
        <f>IF(G184&gt;'(검증1)이상치 검정'!$G$10,"Alert","")</f>
        <v/>
      </c>
    </row>
    <row r="185" spans="1:8" s="55" customFormat="1">
      <c r="A185" s="57" t="s">
        <v>106</v>
      </c>
      <c r="B185" s="57">
        <v>56</v>
      </c>
      <c r="C185" s="57" t="s">
        <v>162</v>
      </c>
      <c r="D185" s="58">
        <v>45.3</v>
      </c>
      <c r="E185" s="59">
        <v>44423.208379629628</v>
      </c>
      <c r="G185" s="55">
        <f>ABS((D185-'(검증1)이상치 검정'!$E$10)/'(검증1)이상치 검정'!$F$10)</f>
        <v>0.15603205220721364</v>
      </c>
      <c r="H185" s="25" t="str">
        <f>IF(G185&gt;'(검증1)이상치 검정'!$G$10,"Alert","")</f>
        <v/>
      </c>
    </row>
    <row r="186" spans="1:8" s="55" customFormat="1">
      <c r="A186" s="57" t="s">
        <v>106</v>
      </c>
      <c r="B186" s="57">
        <v>57</v>
      </c>
      <c r="C186" s="57" t="s">
        <v>163</v>
      </c>
      <c r="D186" s="58">
        <v>44.5</v>
      </c>
      <c r="E186" s="59">
        <v>44423.209074074075</v>
      </c>
      <c r="G186" s="55">
        <f>ABS((D186-'(검증1)이상치 검정'!$E$10)/'(검증1)이상치 검정'!$F$10)</f>
        <v>0.9235410657671369</v>
      </c>
      <c r="H186" s="25" t="str">
        <f>IF(G186&gt;'(검증1)이상치 검정'!$G$10,"Alert","")</f>
        <v/>
      </c>
    </row>
    <row r="187" spans="1:8" s="55" customFormat="1">
      <c r="A187" s="57" t="s">
        <v>106</v>
      </c>
      <c r="B187" s="57">
        <v>58</v>
      </c>
      <c r="C187" s="57" t="s">
        <v>164</v>
      </c>
      <c r="D187" s="58">
        <v>46.2</v>
      </c>
      <c r="E187" s="59">
        <v>44423.209780092591</v>
      </c>
      <c r="G187" s="55">
        <f>ABS((D187-'(검증1)이상치 검정'!$E$10)/'(검증1)이상치 검정'!$F$10)</f>
        <v>1.37055180992837</v>
      </c>
      <c r="H187" s="25" t="str">
        <f>IF(G187&gt;'(검증1)이상치 검정'!$G$10,"Alert","")</f>
        <v/>
      </c>
    </row>
    <row r="188" spans="1:8" s="55" customFormat="1">
      <c r="A188" s="57" t="s">
        <v>106</v>
      </c>
      <c r="B188" s="57">
        <v>59</v>
      </c>
      <c r="C188" s="57" t="s">
        <v>165</v>
      </c>
      <c r="D188" s="58">
        <v>44.4</v>
      </c>
      <c r="E188" s="59">
        <v>44423.210462962961</v>
      </c>
      <c r="G188" s="55">
        <f>ABS((D188-'(검증1)이상치 검정'!$E$10)/'(검증1)이상치 검정'!$F$10)</f>
        <v>1.058487705513933</v>
      </c>
      <c r="H188" s="25" t="str">
        <f>IF(G188&gt;'(검증1)이상치 검정'!$G$10,"Alert","")</f>
        <v/>
      </c>
    </row>
    <row r="189" spans="1:8" s="55" customFormat="1">
      <c r="A189" s="57" t="s">
        <v>106</v>
      </c>
      <c r="B189" s="57">
        <v>60</v>
      </c>
      <c r="C189" s="57" t="s">
        <v>166</v>
      </c>
      <c r="D189" s="58">
        <v>46</v>
      </c>
      <c r="E189" s="59">
        <v>44423.211157407408</v>
      </c>
      <c r="G189" s="55">
        <f>ABS((D189-'(검증1)이상치 검정'!$E$10)/'(검증1)이상치 검정'!$F$10)</f>
        <v>1.1006585304347776</v>
      </c>
      <c r="H189" s="25" t="str">
        <f>IF(G189&gt;'(검증1)이상치 검정'!$G$10,"Alert","")</f>
        <v/>
      </c>
    </row>
    <row r="190" spans="1:8" s="55" customFormat="1">
      <c r="A190" s="57" t="s">
        <v>106</v>
      </c>
      <c r="B190" s="57">
        <v>61</v>
      </c>
      <c r="C190" s="57" t="s">
        <v>167</v>
      </c>
      <c r="D190" s="58">
        <v>45.4</v>
      </c>
      <c r="E190" s="59">
        <v>44423.211851851855</v>
      </c>
      <c r="G190" s="55">
        <f>ABS((D190-'(검증1)이상치 검정'!$E$10)/'(검증1)이상치 검정'!$F$10)</f>
        <v>0.29097869195400988</v>
      </c>
      <c r="H190" s="25" t="str">
        <f>IF(G190&gt;'(검증1)이상치 검정'!$G$10,"Alert","")</f>
        <v/>
      </c>
    </row>
    <row r="191" spans="1:8" s="55" customFormat="1">
      <c r="A191" s="57" t="s">
        <v>106</v>
      </c>
      <c r="B191" s="57">
        <v>62</v>
      </c>
      <c r="C191" s="57" t="s">
        <v>168</v>
      </c>
      <c r="D191" s="58">
        <v>44.5</v>
      </c>
      <c r="E191" s="59">
        <v>44423.212557870371</v>
      </c>
      <c r="G191" s="55">
        <f>ABS((D191-'(검증1)이상치 검정'!$E$10)/'(검증1)이상치 검정'!$F$10)</f>
        <v>0.9235410657671369</v>
      </c>
      <c r="H191" s="25" t="str">
        <f>IF(G191&gt;'(검증1)이상치 검정'!$G$10,"Alert","")</f>
        <v/>
      </c>
    </row>
    <row r="192" spans="1:8" s="55" customFormat="1">
      <c r="A192" s="57" t="s">
        <v>106</v>
      </c>
      <c r="B192" s="57">
        <v>63</v>
      </c>
      <c r="C192" s="57" t="s">
        <v>169</v>
      </c>
      <c r="D192" s="58">
        <v>46.1</v>
      </c>
      <c r="E192" s="59">
        <v>44423.213240740741</v>
      </c>
      <c r="G192" s="55">
        <f>ABS((D192-'(검증1)이상치 검정'!$E$10)/'(검증1)이상치 검정'!$F$10)</f>
        <v>1.2356051701815738</v>
      </c>
      <c r="H192" s="25" t="str">
        <f>IF(G192&gt;'(검증1)이상치 검정'!$G$10,"Alert","")</f>
        <v/>
      </c>
    </row>
    <row r="193" spans="1:8" s="55" customFormat="1">
      <c r="A193" s="57" t="s">
        <v>106</v>
      </c>
      <c r="B193" s="57">
        <v>64</v>
      </c>
      <c r="C193" s="57" t="s">
        <v>170</v>
      </c>
      <c r="D193" s="58">
        <v>44.4</v>
      </c>
      <c r="E193" s="59">
        <v>44423.213946759257</v>
      </c>
      <c r="G193" s="55">
        <f>ABS((D193-'(검증1)이상치 검정'!$E$10)/'(검증1)이상치 검정'!$F$10)</f>
        <v>1.058487705513933</v>
      </c>
      <c r="H193" s="25" t="str">
        <f>IF(G193&gt;'(검증1)이상치 검정'!$G$10,"Alert","")</f>
        <v/>
      </c>
    </row>
    <row r="194" spans="1:8" s="9" customFormat="1">
      <c r="A194" s="7" t="s">
        <v>15</v>
      </c>
      <c r="B194" s="7">
        <v>1</v>
      </c>
      <c r="C194" s="7" t="s">
        <v>107</v>
      </c>
      <c r="D194" s="8">
        <v>-8</v>
      </c>
      <c r="E194" s="12">
        <v>44423.17019675926</v>
      </c>
      <c r="G194" s="9">
        <f>ABS((D194-'(검증1)이상치 검정'!$E$11)/'(검증1)이상치 검정'!$F$11)</f>
        <v>2.0141104725127268</v>
      </c>
      <c r="H194" s="15" t="str">
        <f>IF(G194&gt;'(검증1)이상치 검정'!$G$11,"Alert","")</f>
        <v>Alert</v>
      </c>
    </row>
    <row r="195" spans="1:8" s="9" customFormat="1">
      <c r="A195" s="7" t="s">
        <v>15</v>
      </c>
      <c r="B195" s="7">
        <v>2</v>
      </c>
      <c r="C195" s="7" t="s">
        <v>108</v>
      </c>
      <c r="D195" s="8">
        <v>-6.8</v>
      </c>
      <c r="E195" s="12">
        <v>44423.170891203707</v>
      </c>
      <c r="G195" s="9">
        <f>ABS((D195-'(검증1)이상치 검정'!$E$11)/'(검증1)이상치 검정'!$F$11)</f>
        <v>0.83151349782635497</v>
      </c>
      <c r="H195" s="15" t="str">
        <f>IF(G195&gt;'(검증1)이상치 검정'!$G$11,"Alert","")</f>
        <v/>
      </c>
    </row>
    <row r="196" spans="1:8" s="9" customFormat="1">
      <c r="A196" s="7" t="s">
        <v>15</v>
      </c>
      <c r="B196" s="7">
        <v>3</v>
      </c>
      <c r="C196" s="7" t="s">
        <v>109</v>
      </c>
      <c r="D196" s="8">
        <v>-7.1</v>
      </c>
      <c r="E196" s="12">
        <v>44423.171585648146</v>
      </c>
      <c r="G196" s="9">
        <f>ABS((D196-'(검증1)이상치 검정'!$E$11)/'(검증1)이상치 검정'!$F$11)</f>
        <v>1.1271627414979477</v>
      </c>
      <c r="H196" s="15" t="str">
        <f>IF(G196&gt;'(검증1)이상치 검정'!$G$11,"Alert","")</f>
        <v/>
      </c>
    </row>
    <row r="197" spans="1:8" s="9" customFormat="1">
      <c r="A197" s="7" t="s">
        <v>15</v>
      </c>
      <c r="B197" s="7">
        <v>4</v>
      </c>
      <c r="C197" s="7" t="s">
        <v>110</v>
      </c>
      <c r="D197" s="8">
        <v>-7</v>
      </c>
      <c r="E197" s="12">
        <v>44423.172280092593</v>
      </c>
      <c r="G197" s="9">
        <f>ABS((D197-'(검증1)이상치 검정'!$E$11)/'(검증1)이상치 검정'!$F$11)</f>
        <v>1.0286129936074171</v>
      </c>
      <c r="H197" s="15" t="str">
        <f>IF(G197&gt;'(검증1)이상치 검정'!$G$11,"Alert","")</f>
        <v/>
      </c>
    </row>
    <row r="198" spans="1:8" s="9" customFormat="1">
      <c r="A198" s="7" t="s">
        <v>15</v>
      </c>
      <c r="B198" s="7">
        <v>5</v>
      </c>
      <c r="C198" s="7" t="s">
        <v>111</v>
      </c>
      <c r="D198" s="8">
        <v>-6.3</v>
      </c>
      <c r="E198" s="12">
        <v>44423.172974537039</v>
      </c>
      <c r="G198" s="9">
        <f>ABS((D198-'(검증1)이상치 검정'!$E$11)/'(검증1)이상치 검정'!$F$11)</f>
        <v>0.33876475837370018</v>
      </c>
      <c r="H198" s="15" t="str">
        <f>IF(G198&gt;'(검증1)이상치 검정'!$G$11,"Alert","")</f>
        <v/>
      </c>
    </row>
    <row r="199" spans="1:8" s="9" customFormat="1">
      <c r="A199" s="7" t="s">
        <v>15</v>
      </c>
      <c r="B199" s="7">
        <v>6</v>
      </c>
      <c r="C199" s="7" t="s">
        <v>112</v>
      </c>
      <c r="D199" s="8">
        <v>-6.7</v>
      </c>
      <c r="E199" s="12">
        <v>44423.173668981479</v>
      </c>
      <c r="G199" s="9">
        <f>ABS((D199-'(검증1)이상치 검정'!$E$11)/'(검증1)이상치 검정'!$F$11)</f>
        <v>0.73296374993582436</v>
      </c>
      <c r="H199" s="15" t="str">
        <f>IF(G199&gt;'(검증1)이상치 검정'!$G$11,"Alert","")</f>
        <v/>
      </c>
    </row>
    <row r="200" spans="1:8" s="9" customFormat="1">
      <c r="A200" s="7" t="s">
        <v>15</v>
      </c>
      <c r="B200" s="7">
        <v>7</v>
      </c>
      <c r="C200" s="7" t="s">
        <v>113</v>
      </c>
      <c r="D200" s="8">
        <v>-4.9000000000000004</v>
      </c>
      <c r="E200" s="12">
        <v>44423.174363425926</v>
      </c>
      <c r="G200" s="9">
        <f>ABS((D200-'(검증1)이상치 검정'!$E$11)/'(검증1)이상치 검정'!$F$11)</f>
        <v>1.0409317120937327</v>
      </c>
      <c r="H200" s="15" t="str">
        <f>IF(G200&gt;'(검증1)이상치 검정'!$G$11,"Alert","")</f>
        <v/>
      </c>
    </row>
    <row r="201" spans="1:8" s="9" customFormat="1">
      <c r="A201" s="7" t="s">
        <v>15</v>
      </c>
      <c r="B201" s="7">
        <v>8</v>
      </c>
      <c r="C201" s="7" t="s">
        <v>114</v>
      </c>
      <c r="D201" s="8">
        <v>-5.9</v>
      </c>
      <c r="E201" s="12">
        <v>44423.175057870372</v>
      </c>
      <c r="G201" s="9">
        <f>ABS((D201-'(검증1)이상치 검정'!$E$11)/'(검증1)이상치 검정'!$F$11)</f>
        <v>5.5434233188423138E-2</v>
      </c>
      <c r="H201" s="15" t="str">
        <f>IF(G201&gt;'(검증1)이상치 검정'!$G$11,"Alert","")</f>
        <v/>
      </c>
    </row>
    <row r="202" spans="1:8" s="9" customFormat="1">
      <c r="A202" s="7" t="s">
        <v>15</v>
      </c>
      <c r="B202" s="7">
        <v>9</v>
      </c>
      <c r="C202" s="7" t="s">
        <v>115</v>
      </c>
      <c r="D202" s="8">
        <v>-4.5</v>
      </c>
      <c r="E202" s="12">
        <v>44423.175752314812</v>
      </c>
      <c r="G202" s="9">
        <f>ABS((D202-'(검증1)이상치 검정'!$E$11)/'(검증1)이상치 검정'!$F$11)</f>
        <v>1.4351307036558569</v>
      </c>
      <c r="H202" s="15" t="str">
        <f>IF(G202&gt;'(검증1)이상치 검정'!$G$11,"Alert","")</f>
        <v/>
      </c>
    </row>
    <row r="203" spans="1:8" s="9" customFormat="1">
      <c r="A203" s="7" t="s">
        <v>15</v>
      </c>
      <c r="B203" s="7">
        <v>10</v>
      </c>
      <c r="C203" s="7" t="s">
        <v>116</v>
      </c>
      <c r="D203" s="8">
        <v>-6.9</v>
      </c>
      <c r="E203" s="12">
        <v>44423.176446759258</v>
      </c>
      <c r="G203" s="9">
        <f>ABS((D203-'(검증1)이상치 검정'!$E$11)/'(검증1)이상치 검정'!$F$11)</f>
        <v>0.93006324571688648</v>
      </c>
      <c r="H203" s="15" t="str">
        <f>IF(G203&gt;'(검증1)이상치 검정'!$G$11,"Alert","")</f>
        <v/>
      </c>
    </row>
    <row r="204" spans="1:8" s="9" customFormat="1">
      <c r="A204" s="7" t="s">
        <v>15</v>
      </c>
      <c r="B204" s="7">
        <v>11</v>
      </c>
      <c r="C204" s="7" t="s">
        <v>117</v>
      </c>
      <c r="D204" s="8">
        <v>-4.5999999999999996</v>
      </c>
      <c r="E204" s="12">
        <v>44423.177141203705</v>
      </c>
      <c r="G204" s="9">
        <f>ABS((D204-'(검증1)이상치 검정'!$E$11)/'(검증1)이상치 검정'!$F$11)</f>
        <v>1.3365809557653263</v>
      </c>
      <c r="H204" s="15" t="str">
        <f>IF(G204&gt;'(검증1)이상치 검정'!$G$11,"Alert","")</f>
        <v/>
      </c>
    </row>
    <row r="205" spans="1:8" s="9" customFormat="1">
      <c r="A205" s="7" t="s">
        <v>15</v>
      </c>
      <c r="B205" s="7">
        <v>12</v>
      </c>
      <c r="C205" s="7" t="s">
        <v>118</v>
      </c>
      <c r="D205" s="8">
        <v>-5.0999999999999996</v>
      </c>
      <c r="E205" s="12">
        <v>44423.177835648145</v>
      </c>
      <c r="G205" s="9">
        <f>ABS((D205-'(검증1)이상치 검정'!$E$11)/'(검증1)이상치 검정'!$F$11)</f>
        <v>0.84383221631267147</v>
      </c>
      <c r="H205" s="15" t="str">
        <f>IF(G205&gt;'(검증1)이상치 검정'!$G$11,"Alert","")</f>
        <v/>
      </c>
    </row>
    <row r="206" spans="1:8" s="9" customFormat="1">
      <c r="A206" s="7" t="s">
        <v>15</v>
      </c>
      <c r="B206" s="7">
        <v>13</v>
      </c>
      <c r="C206" s="7" t="s">
        <v>119</v>
      </c>
      <c r="D206" s="8">
        <v>-5.2</v>
      </c>
      <c r="E206" s="12">
        <v>44423.178530092591</v>
      </c>
      <c r="G206" s="9">
        <f>ABS((D206-'(검증1)이상치 검정'!$E$11)/'(검증1)이상치 검정'!$F$11)</f>
        <v>0.74528246842213997</v>
      </c>
      <c r="H206" s="15" t="str">
        <f>IF(G206&gt;'(검증1)이상치 검정'!$G$11,"Alert","")</f>
        <v/>
      </c>
    </row>
    <row r="207" spans="1:8" s="9" customFormat="1">
      <c r="A207" s="7" t="s">
        <v>15</v>
      </c>
      <c r="B207" s="7">
        <v>14</v>
      </c>
      <c r="C207" s="7" t="s">
        <v>120</v>
      </c>
      <c r="D207" s="8">
        <v>-5.7</v>
      </c>
      <c r="E207" s="12">
        <v>44423.179224537038</v>
      </c>
      <c r="G207" s="9">
        <f>ABS((D207-'(검증1)이상치 검정'!$E$11)/'(검증1)이상치 검정'!$F$11)</f>
        <v>0.25253372896948523</v>
      </c>
      <c r="H207" s="15" t="str">
        <f>IF(G207&gt;'(검증1)이상치 검정'!$G$11,"Alert","")</f>
        <v/>
      </c>
    </row>
    <row r="208" spans="1:8" s="9" customFormat="1">
      <c r="A208" s="7" t="s">
        <v>15</v>
      </c>
      <c r="B208" s="7">
        <v>15</v>
      </c>
      <c r="C208" s="7" t="s">
        <v>121</v>
      </c>
      <c r="D208" s="8">
        <v>-4.5999999999999996</v>
      </c>
      <c r="E208" s="12">
        <v>44423.179918981485</v>
      </c>
      <c r="G208" s="9">
        <f>ABS((D208-'(검증1)이상치 검정'!$E$11)/'(검증1)이상치 검정'!$F$11)</f>
        <v>1.3365809557653263</v>
      </c>
      <c r="H208" s="15" t="str">
        <f>IF(G208&gt;'(검증1)이상치 검정'!$G$11,"Alert","")</f>
        <v/>
      </c>
    </row>
    <row r="209" spans="1:8" s="9" customFormat="1">
      <c r="A209" s="7" t="s">
        <v>15</v>
      </c>
      <c r="B209" s="7">
        <v>16</v>
      </c>
      <c r="C209" s="7" t="s">
        <v>122</v>
      </c>
      <c r="D209" s="8">
        <v>-7</v>
      </c>
      <c r="E209" s="12">
        <v>44423.180613425924</v>
      </c>
      <c r="G209" s="9">
        <f>ABS((D209-'(검증1)이상치 검정'!$E$11)/'(검증1)이상치 검정'!$F$11)</f>
        <v>1.0286129936074171</v>
      </c>
      <c r="H209" s="15" t="str">
        <f>IF(G209&gt;'(검증1)이상치 검정'!$G$11,"Alert","")</f>
        <v/>
      </c>
    </row>
    <row r="210" spans="1:8" s="9" customFormat="1">
      <c r="A210" s="7" t="s">
        <v>15</v>
      </c>
      <c r="B210" s="7">
        <v>17</v>
      </c>
      <c r="C210" s="7" t="s">
        <v>123</v>
      </c>
      <c r="D210" s="8">
        <v>-6.1</v>
      </c>
      <c r="E210" s="12">
        <v>44423.181307870371</v>
      </c>
      <c r="G210" s="9">
        <f>ABS((D210-'(검증1)이상치 검정'!$E$11)/'(검증1)이상치 검정'!$F$11)</f>
        <v>0.14166526259263806</v>
      </c>
      <c r="H210" s="15" t="str">
        <f>IF(G210&gt;'(검증1)이상치 검정'!$G$11,"Alert","")</f>
        <v/>
      </c>
    </row>
    <row r="211" spans="1:8" s="9" customFormat="1">
      <c r="A211" s="7" t="s">
        <v>15</v>
      </c>
      <c r="B211" s="7">
        <v>18</v>
      </c>
      <c r="C211" s="7" t="s">
        <v>124</v>
      </c>
      <c r="D211" s="8">
        <v>-6.2</v>
      </c>
      <c r="E211" s="12">
        <v>44423.182002314818</v>
      </c>
      <c r="G211" s="9">
        <f>ABS((D211-'(검증1)이상치 검정'!$E$11)/'(검증1)이상치 검정'!$F$11)</f>
        <v>0.24021501048316957</v>
      </c>
      <c r="H211" s="15" t="str">
        <f>IF(G211&gt;'(검증1)이상치 검정'!$G$11,"Alert","")</f>
        <v/>
      </c>
    </row>
    <row r="212" spans="1:8" s="9" customFormat="1">
      <c r="A212" s="7" t="s">
        <v>15</v>
      </c>
      <c r="B212" s="7">
        <v>19</v>
      </c>
      <c r="C212" s="7" t="s">
        <v>125</v>
      </c>
      <c r="D212" s="8">
        <v>-6.6</v>
      </c>
      <c r="E212" s="12">
        <v>44423.182696759257</v>
      </c>
      <c r="G212" s="9">
        <f>ABS((D212-'(검증1)이상치 검정'!$E$11)/'(검증1)이상치 검정'!$F$11)</f>
        <v>0.63441400204529286</v>
      </c>
      <c r="H212" s="15" t="str">
        <f>IF(G212&gt;'(검증1)이상치 검정'!$G$11,"Alert","")</f>
        <v/>
      </c>
    </row>
    <row r="213" spans="1:8" s="9" customFormat="1">
      <c r="A213" s="7" t="s">
        <v>15</v>
      </c>
      <c r="B213" s="7">
        <v>20</v>
      </c>
      <c r="C213" s="7" t="s">
        <v>126</v>
      </c>
      <c r="D213" s="8">
        <v>-6.7</v>
      </c>
      <c r="E213" s="12">
        <v>44423.183391203704</v>
      </c>
      <c r="G213" s="9">
        <f>ABS((D213-'(검증1)이상치 검정'!$E$11)/'(검증1)이상치 검정'!$F$11)</f>
        <v>0.73296374993582436</v>
      </c>
      <c r="H213" s="15" t="str">
        <f>IF(G213&gt;'(검증1)이상치 검정'!$G$11,"Alert","")</f>
        <v/>
      </c>
    </row>
    <row r="214" spans="1:8" s="9" customFormat="1">
      <c r="A214" s="7" t="s">
        <v>15</v>
      </c>
      <c r="B214" s="7">
        <v>21</v>
      </c>
      <c r="C214" s="7" t="s">
        <v>127</v>
      </c>
      <c r="D214" s="8">
        <v>-6.5</v>
      </c>
      <c r="E214" s="12">
        <v>44423.18408564815</v>
      </c>
      <c r="G214" s="9">
        <f>ABS((D214-'(검증1)이상치 검정'!$E$11)/'(검증1)이상치 검정'!$F$11)</f>
        <v>0.53586425415476224</v>
      </c>
      <c r="H214" s="15" t="str">
        <f>IF(G214&gt;'(검증1)이상치 검정'!$G$11,"Alert","")</f>
        <v/>
      </c>
    </row>
    <row r="215" spans="1:8" s="9" customFormat="1">
      <c r="A215" s="7" t="s">
        <v>15</v>
      </c>
      <c r="B215" s="7">
        <v>22</v>
      </c>
      <c r="C215" s="7" t="s">
        <v>128</v>
      </c>
      <c r="D215" s="8">
        <v>-6.7</v>
      </c>
      <c r="E215" s="12">
        <v>44423.18476851852</v>
      </c>
      <c r="G215" s="9">
        <f>ABS((D215-'(검증1)이상치 검정'!$E$11)/'(검증1)이상치 검정'!$F$11)</f>
        <v>0.73296374993582436</v>
      </c>
      <c r="H215" s="15" t="str">
        <f>IF(G215&gt;'(검증1)이상치 검정'!$G$11,"Alert","")</f>
        <v/>
      </c>
    </row>
    <row r="216" spans="1:8" s="9" customFormat="1">
      <c r="A216" s="7" t="s">
        <v>15</v>
      </c>
      <c r="B216" s="7">
        <v>23</v>
      </c>
      <c r="C216" s="7" t="s">
        <v>129</v>
      </c>
      <c r="D216" s="8">
        <v>-5.6</v>
      </c>
      <c r="E216" s="12">
        <v>44423.185474537036</v>
      </c>
      <c r="G216" s="9">
        <f>ABS((D216-'(검증1)이상치 검정'!$E$11)/'(검증1)이상치 검정'!$F$11)</f>
        <v>0.35108347686001673</v>
      </c>
      <c r="H216" s="15" t="str">
        <f>IF(G216&gt;'(검증1)이상치 검정'!$G$11,"Alert","")</f>
        <v/>
      </c>
    </row>
    <row r="217" spans="1:8" s="9" customFormat="1">
      <c r="A217" s="7" t="s">
        <v>15</v>
      </c>
      <c r="B217" s="7">
        <v>24</v>
      </c>
      <c r="C217" s="7" t="s">
        <v>130</v>
      </c>
      <c r="D217" s="8">
        <v>-6.5</v>
      </c>
      <c r="E217" s="12">
        <v>44423.186168981483</v>
      </c>
      <c r="G217" s="9">
        <f>ABS((D217-'(검증1)이상치 검정'!$E$11)/'(검증1)이상치 검정'!$F$11)</f>
        <v>0.53586425415476224</v>
      </c>
      <c r="H217" s="15" t="str">
        <f>IF(G217&gt;'(검증1)이상치 검정'!$G$11,"Alert","")</f>
        <v/>
      </c>
    </row>
    <row r="218" spans="1:8" s="9" customFormat="1">
      <c r="A218" s="7" t="s">
        <v>15</v>
      </c>
      <c r="B218" s="7">
        <v>25</v>
      </c>
      <c r="C218" s="7" t="s">
        <v>131</v>
      </c>
      <c r="D218" s="8">
        <v>-5.0999999999999996</v>
      </c>
      <c r="E218" s="12">
        <v>44423.186863425923</v>
      </c>
      <c r="G218" s="9">
        <f>ABS((D218-'(검증1)이상치 검정'!$E$11)/'(검증1)이상치 검정'!$F$11)</f>
        <v>0.84383221631267147</v>
      </c>
      <c r="H218" s="15" t="str">
        <f>IF(G218&gt;'(검증1)이상치 검정'!$G$11,"Alert","")</f>
        <v/>
      </c>
    </row>
    <row r="219" spans="1:8" s="9" customFormat="1">
      <c r="A219" s="7" t="s">
        <v>15</v>
      </c>
      <c r="B219" s="7">
        <v>26</v>
      </c>
      <c r="C219" s="7" t="s">
        <v>132</v>
      </c>
      <c r="D219" s="8">
        <v>-6.5</v>
      </c>
      <c r="E219" s="12">
        <v>44423.187557870369</v>
      </c>
      <c r="G219" s="9">
        <f>ABS((D219-'(검증1)이상치 검정'!$E$11)/'(검증1)이상치 검정'!$F$11)</f>
        <v>0.53586425415476224</v>
      </c>
      <c r="H219" s="15" t="str">
        <f>IF(G219&gt;'(검증1)이상치 검정'!$G$11,"Alert","")</f>
        <v/>
      </c>
    </row>
    <row r="220" spans="1:8" s="9" customFormat="1">
      <c r="A220" s="7" t="s">
        <v>15</v>
      </c>
      <c r="B220" s="7">
        <v>27</v>
      </c>
      <c r="C220" s="7" t="s">
        <v>133</v>
      </c>
      <c r="D220" s="8">
        <v>-4.2</v>
      </c>
      <c r="E220" s="12">
        <v>44423.188252314816</v>
      </c>
      <c r="G220" s="9">
        <f>ABS((D220-'(검증1)이상치 검정'!$E$11)/'(검증1)이상치 검정'!$F$11)</f>
        <v>1.7307799473274497</v>
      </c>
      <c r="H220" s="15" t="str">
        <f>IF(G220&gt;'(검증1)이상치 검정'!$G$11,"Alert","")</f>
        <v>Alert</v>
      </c>
    </row>
    <row r="221" spans="1:8" s="9" customFormat="1">
      <c r="A221" s="7" t="s">
        <v>15</v>
      </c>
      <c r="B221" s="7">
        <v>28</v>
      </c>
      <c r="C221" s="7" t="s">
        <v>134</v>
      </c>
      <c r="D221" s="8">
        <v>-5.0999999999999996</v>
      </c>
      <c r="E221" s="12">
        <v>44423.188946759263</v>
      </c>
      <c r="G221" s="9">
        <f>ABS((D221-'(검증1)이상치 검정'!$E$11)/'(검증1)이상치 검정'!$F$11)</f>
        <v>0.84383221631267147</v>
      </c>
      <c r="H221" s="15" t="str">
        <f>IF(G221&gt;'(검증1)이상치 검정'!$G$11,"Alert","")</f>
        <v/>
      </c>
    </row>
    <row r="222" spans="1:8" s="9" customFormat="1">
      <c r="A222" s="7" t="s">
        <v>15</v>
      </c>
      <c r="B222" s="7">
        <v>29</v>
      </c>
      <c r="C222" s="7" t="s">
        <v>135</v>
      </c>
      <c r="D222" s="8">
        <v>-4.9000000000000004</v>
      </c>
      <c r="E222" s="12">
        <v>44423.189641203702</v>
      </c>
      <c r="G222" s="9">
        <f>ABS((D222-'(검증1)이상치 검정'!$E$11)/'(검증1)이상치 검정'!$F$11)</f>
        <v>1.0409317120937327</v>
      </c>
      <c r="H222" s="15" t="str">
        <f>IF(G222&gt;'(검증1)이상치 검정'!$G$11,"Alert","")</f>
        <v/>
      </c>
    </row>
    <row r="223" spans="1:8" s="9" customFormat="1">
      <c r="A223" s="7" t="s">
        <v>15</v>
      </c>
      <c r="B223" s="7">
        <v>30</v>
      </c>
      <c r="C223" s="7" t="s">
        <v>136</v>
      </c>
      <c r="D223" s="8">
        <v>-4.5</v>
      </c>
      <c r="E223" s="12">
        <v>44423.190335648149</v>
      </c>
      <c r="G223" s="9">
        <f>ABS((D223-'(검증1)이상치 검정'!$E$11)/'(검증1)이상치 검정'!$F$11)</f>
        <v>1.4351307036558569</v>
      </c>
      <c r="H223" s="15" t="str">
        <f>IF(G223&gt;'(검증1)이상치 검정'!$G$11,"Alert","")</f>
        <v/>
      </c>
    </row>
    <row r="224" spans="1:8" s="9" customFormat="1">
      <c r="A224" s="7" t="s">
        <v>15</v>
      </c>
      <c r="B224" s="7">
        <v>31</v>
      </c>
      <c r="C224" s="7" t="s">
        <v>137</v>
      </c>
      <c r="D224" s="8">
        <v>-5.7</v>
      </c>
      <c r="E224" s="12">
        <v>44423.191030092596</v>
      </c>
      <c r="G224" s="9">
        <f>ABS((D224-'(검증1)이상치 검정'!$E$11)/'(검증1)이상치 검정'!$F$11)</f>
        <v>0.25253372896948523</v>
      </c>
      <c r="H224" s="15" t="str">
        <f>IF(G224&gt;'(검증1)이상치 검정'!$G$11,"Alert","")</f>
        <v/>
      </c>
    </row>
    <row r="225" spans="1:8" s="9" customFormat="1">
      <c r="A225" s="7" t="s">
        <v>15</v>
      </c>
      <c r="B225" s="7">
        <v>32</v>
      </c>
      <c r="C225" s="7" t="s">
        <v>138</v>
      </c>
      <c r="D225" s="8">
        <v>-4.5999999999999996</v>
      </c>
      <c r="E225" s="12">
        <v>44423.191724537035</v>
      </c>
      <c r="G225" s="9">
        <f>ABS((D225-'(검증1)이상치 검정'!$E$11)/'(검증1)이상치 검정'!$F$11)</f>
        <v>1.3365809557653263</v>
      </c>
      <c r="H225" s="15" t="str">
        <f>IF(G225&gt;'(검증1)이상치 검정'!$G$11,"Alert","")</f>
        <v/>
      </c>
    </row>
    <row r="226" spans="1:8" s="9" customFormat="1">
      <c r="A226" s="7" t="s">
        <v>15</v>
      </c>
      <c r="B226" s="7">
        <v>33</v>
      </c>
      <c r="C226" s="7" t="s">
        <v>139</v>
      </c>
      <c r="D226" s="8">
        <v>-6</v>
      </c>
      <c r="E226" s="12">
        <v>44423.192418981482</v>
      </c>
      <c r="G226" s="9">
        <f>ABS((D226-'(검증1)이상치 검정'!$E$11)/'(검증1)이상치 검정'!$F$11)</f>
        <v>4.311551470210747E-2</v>
      </c>
      <c r="H226" s="15" t="str">
        <f>IF(G226&gt;'(검증1)이상치 검정'!$G$11,"Alert","")</f>
        <v/>
      </c>
    </row>
    <row r="227" spans="1:8" s="9" customFormat="1">
      <c r="A227" s="7" t="s">
        <v>15</v>
      </c>
      <c r="B227" s="7">
        <v>34</v>
      </c>
      <c r="C227" s="7" t="s">
        <v>140</v>
      </c>
      <c r="D227" s="8">
        <v>-4.8</v>
      </c>
      <c r="E227" s="12">
        <v>44423.193101851852</v>
      </c>
      <c r="G227" s="9">
        <f>ABS((D227-'(검증1)이상치 검정'!$E$11)/'(검증1)이상치 검정'!$F$11)</f>
        <v>1.1394814599842642</v>
      </c>
      <c r="H227" s="15" t="str">
        <f>IF(G227&gt;'(검증1)이상치 검정'!$G$11,"Alert","")</f>
        <v/>
      </c>
    </row>
    <row r="228" spans="1:8" s="9" customFormat="1">
      <c r="A228" s="7" t="s">
        <v>15</v>
      </c>
      <c r="B228" s="7">
        <v>35</v>
      </c>
      <c r="C228" s="7" t="s">
        <v>141</v>
      </c>
      <c r="D228" s="8">
        <v>-5.7</v>
      </c>
      <c r="E228" s="12">
        <v>44423.193807870368</v>
      </c>
      <c r="G228" s="9">
        <f>ABS((D228-'(검증1)이상치 검정'!$E$11)/'(검증1)이상치 검정'!$F$11)</f>
        <v>0.25253372896948523</v>
      </c>
      <c r="H228" s="15" t="str">
        <f>IF(G228&gt;'(검증1)이상치 검정'!$G$11,"Alert","")</f>
        <v/>
      </c>
    </row>
    <row r="229" spans="1:8" s="9" customFormat="1">
      <c r="A229" s="7" t="s">
        <v>15</v>
      </c>
      <c r="B229" s="7">
        <v>36</v>
      </c>
      <c r="C229" s="7" t="s">
        <v>142</v>
      </c>
      <c r="D229" s="8">
        <v>-7.5</v>
      </c>
      <c r="E229" s="12">
        <v>44423.194490740738</v>
      </c>
      <c r="G229" s="9">
        <f>ABS((D229-'(검증1)이상치 검정'!$E$11)/'(검증1)이상치 검정'!$F$11)</f>
        <v>1.5213617330600719</v>
      </c>
      <c r="H229" s="15" t="str">
        <f>IF(G229&gt;'(검증1)이상치 검정'!$G$11,"Alert","")</f>
        <v/>
      </c>
    </row>
    <row r="230" spans="1:8" s="9" customFormat="1">
      <c r="A230" s="7" t="s">
        <v>15</v>
      </c>
      <c r="B230" s="7">
        <v>37</v>
      </c>
      <c r="C230" s="7" t="s">
        <v>143</v>
      </c>
      <c r="D230" s="8">
        <v>-5.9</v>
      </c>
      <c r="E230" s="12">
        <v>44423.195196759261</v>
      </c>
      <c r="G230" s="9">
        <f>ABS((D230-'(검증1)이상치 검정'!$E$11)/'(검증1)이상치 검정'!$F$11)</f>
        <v>5.5434233188423138E-2</v>
      </c>
      <c r="H230" s="15" t="str">
        <f>IF(G230&gt;'(검증1)이상치 검정'!$G$11,"Alert","")</f>
        <v/>
      </c>
    </row>
    <row r="231" spans="1:8" s="9" customFormat="1">
      <c r="A231" s="7" t="s">
        <v>15</v>
      </c>
      <c r="B231" s="7">
        <v>38</v>
      </c>
      <c r="C231" s="7" t="s">
        <v>144</v>
      </c>
      <c r="D231" s="8">
        <v>-7.6</v>
      </c>
      <c r="E231" s="12">
        <v>44423.195891203701</v>
      </c>
      <c r="G231" s="9">
        <f>ABS((D231-'(검증1)이상치 검정'!$E$11)/'(검증1)이상치 검정'!$F$11)</f>
        <v>1.6199114809506026</v>
      </c>
      <c r="H231" s="15" t="str">
        <f>IF(G231&gt;'(검증1)이상치 검정'!$G$11,"Alert","")</f>
        <v/>
      </c>
    </row>
    <row r="232" spans="1:8" s="9" customFormat="1">
      <c r="A232" s="7" t="s">
        <v>15</v>
      </c>
      <c r="B232" s="7">
        <v>39</v>
      </c>
      <c r="C232" s="7" t="s">
        <v>145</v>
      </c>
      <c r="D232" s="8">
        <v>-7.4</v>
      </c>
      <c r="E232" s="12">
        <v>44423.196574074071</v>
      </c>
      <c r="G232" s="9">
        <f>ABS((D232-'(검증1)이상치 검정'!$E$11)/'(검증1)이상치 검정'!$F$11)</f>
        <v>1.4228119851695413</v>
      </c>
      <c r="H232" s="15" t="str">
        <f>IF(G232&gt;'(검증1)이상치 검정'!$G$11,"Alert","")</f>
        <v/>
      </c>
    </row>
    <row r="233" spans="1:8" s="9" customFormat="1">
      <c r="A233" s="7" t="s">
        <v>15</v>
      </c>
      <c r="B233" s="7">
        <v>40</v>
      </c>
      <c r="C233" s="7" t="s">
        <v>146</v>
      </c>
      <c r="D233" s="8">
        <v>-6.6</v>
      </c>
      <c r="E233" s="12">
        <v>44423.197268518517</v>
      </c>
      <c r="G233" s="9">
        <f>ABS((D233-'(검증1)이상치 검정'!$E$11)/'(검증1)이상치 검정'!$F$11)</f>
        <v>0.63441400204529286</v>
      </c>
      <c r="H233" s="15" t="str">
        <f>IF(G233&gt;'(검증1)이상치 검정'!$G$11,"Alert","")</f>
        <v/>
      </c>
    </row>
    <row r="234" spans="1:8" s="9" customFormat="1">
      <c r="A234" s="7" t="s">
        <v>15</v>
      </c>
      <c r="B234" s="7">
        <v>41</v>
      </c>
      <c r="C234" s="7" t="s">
        <v>147</v>
      </c>
      <c r="D234" s="8">
        <v>-6.6</v>
      </c>
      <c r="E234" s="12">
        <v>44423.197974537034</v>
      </c>
      <c r="G234" s="9">
        <f>ABS((D234-'(검증1)이상치 검정'!$E$11)/'(검증1)이상치 검정'!$F$11)</f>
        <v>0.63441400204529286</v>
      </c>
      <c r="H234" s="15" t="str">
        <f>IF(G234&gt;'(검증1)이상치 검정'!$G$11,"Alert","")</f>
        <v/>
      </c>
    </row>
    <row r="235" spans="1:8" s="9" customFormat="1">
      <c r="A235" s="7" t="s">
        <v>15</v>
      </c>
      <c r="B235" s="7">
        <v>42</v>
      </c>
      <c r="C235" s="7" t="s">
        <v>148</v>
      </c>
      <c r="D235" s="8">
        <v>-6</v>
      </c>
      <c r="E235" s="12">
        <v>44423.19866898148</v>
      </c>
      <c r="G235" s="9">
        <f>ABS((D235-'(검증1)이상치 검정'!$E$11)/'(검증1)이상치 검정'!$F$11)</f>
        <v>4.311551470210747E-2</v>
      </c>
      <c r="H235" s="15" t="str">
        <f>IF(G235&gt;'(검증1)이상치 검정'!$G$11,"Alert","")</f>
        <v/>
      </c>
    </row>
    <row r="236" spans="1:8" s="9" customFormat="1">
      <c r="A236" s="7" t="s">
        <v>15</v>
      </c>
      <c r="B236" s="7">
        <v>43</v>
      </c>
      <c r="C236" s="7" t="s">
        <v>149</v>
      </c>
      <c r="D236" s="8">
        <v>-6.3</v>
      </c>
      <c r="E236" s="12">
        <v>44423.19935185185</v>
      </c>
      <c r="G236" s="9">
        <f>ABS((D236-'(검증1)이상치 검정'!$E$11)/'(검증1)이상치 검정'!$F$11)</f>
        <v>0.33876475837370018</v>
      </c>
      <c r="H236" s="15" t="str">
        <f>IF(G236&gt;'(검증1)이상치 검정'!$G$11,"Alert","")</f>
        <v/>
      </c>
    </row>
    <row r="237" spans="1:8" s="9" customFormat="1">
      <c r="A237" s="7" t="s">
        <v>15</v>
      </c>
      <c r="B237" s="7">
        <v>44</v>
      </c>
      <c r="C237" s="7" t="s">
        <v>150</v>
      </c>
      <c r="D237" s="8">
        <v>-3.7</v>
      </c>
      <c r="E237" s="12">
        <v>44423.200057870374</v>
      </c>
      <c r="G237" s="9">
        <f>ABS((D237-'(검증1)이상치 검정'!$E$11)/'(검증1)이상치 검정'!$F$11)</f>
        <v>2.2235286867801043</v>
      </c>
      <c r="H237" s="15" t="str">
        <f>IF(G237&gt;'(검증1)이상치 검정'!$G$11,"Alert","")</f>
        <v>Alert</v>
      </c>
    </row>
    <row r="238" spans="1:8" s="9" customFormat="1">
      <c r="A238" s="7" t="s">
        <v>15</v>
      </c>
      <c r="B238" s="7">
        <v>45</v>
      </c>
      <c r="C238" s="7" t="s">
        <v>151</v>
      </c>
      <c r="D238" s="8">
        <v>-6</v>
      </c>
      <c r="E238" s="12">
        <v>44423.200752314813</v>
      </c>
      <c r="G238" s="9">
        <f>ABS((D238-'(검증1)이상치 검정'!$E$11)/'(검증1)이상치 검정'!$F$11)</f>
        <v>4.311551470210747E-2</v>
      </c>
      <c r="H238" s="15" t="str">
        <f>IF(G238&gt;'(검증1)이상치 검정'!$G$11,"Alert","")</f>
        <v/>
      </c>
    </row>
    <row r="239" spans="1:8" s="9" customFormat="1">
      <c r="A239" s="7" t="s">
        <v>15</v>
      </c>
      <c r="B239" s="7">
        <v>46</v>
      </c>
      <c r="C239" s="7" t="s">
        <v>152</v>
      </c>
      <c r="D239" s="8">
        <v>-3.6</v>
      </c>
      <c r="E239" s="12">
        <v>44423.20144675926</v>
      </c>
      <c r="G239" s="9">
        <f>ABS((D239-'(검증1)이상치 검정'!$E$11)/'(검증1)이상치 검정'!$F$11)</f>
        <v>2.3220784346706353</v>
      </c>
      <c r="H239" s="15" t="str">
        <f>IF(G239&gt;'(검증1)이상치 검정'!$G$11,"Alert","")</f>
        <v>Alert</v>
      </c>
    </row>
    <row r="240" spans="1:8" s="9" customFormat="1">
      <c r="A240" s="7" t="s">
        <v>15</v>
      </c>
      <c r="B240" s="7">
        <v>47</v>
      </c>
      <c r="C240" s="7" t="s">
        <v>153</v>
      </c>
      <c r="D240" s="8">
        <v>-4.9000000000000004</v>
      </c>
      <c r="E240" s="12">
        <v>44423.202141203707</v>
      </c>
      <c r="G240" s="9">
        <f>ABS((D240-'(검증1)이상치 검정'!$E$11)/'(검증1)이상치 검정'!$F$11)</f>
        <v>1.0409317120937327</v>
      </c>
      <c r="H240" s="15" t="str">
        <f>IF(G240&gt;'(검증1)이상치 검정'!$G$11,"Alert","")</f>
        <v/>
      </c>
    </row>
    <row r="241" spans="1:8" s="9" customFormat="1">
      <c r="A241" s="7" t="s">
        <v>15</v>
      </c>
      <c r="B241" s="7">
        <v>48</v>
      </c>
      <c r="C241" s="7" t="s">
        <v>154</v>
      </c>
      <c r="D241" s="8">
        <v>-5.2</v>
      </c>
      <c r="E241" s="12">
        <v>44423.202824074076</v>
      </c>
      <c r="G241" s="9">
        <f>ABS((D241-'(검증1)이상치 검정'!$E$11)/'(검증1)이상치 검정'!$F$11)</f>
        <v>0.74528246842213997</v>
      </c>
      <c r="H241" s="15" t="str">
        <f>IF(G241&gt;'(검증1)이상치 검정'!$G$11,"Alert","")</f>
        <v/>
      </c>
    </row>
    <row r="242" spans="1:8" s="9" customFormat="1">
      <c r="A242" s="7" t="s">
        <v>15</v>
      </c>
      <c r="B242" s="7">
        <v>49</v>
      </c>
      <c r="C242" s="7" t="s">
        <v>155</v>
      </c>
      <c r="D242" s="8">
        <v>-5.0999999999999996</v>
      </c>
      <c r="E242" s="12">
        <v>44423.203530092593</v>
      </c>
      <c r="G242" s="9">
        <f>ABS((D242-'(검증1)이상치 검정'!$E$11)/'(검증1)이상치 검정'!$F$11)</f>
        <v>0.84383221631267147</v>
      </c>
      <c r="H242" s="15" t="str">
        <f>IF(G242&gt;'(검증1)이상치 검정'!$G$11,"Alert","")</f>
        <v/>
      </c>
    </row>
    <row r="243" spans="1:8" s="9" customFormat="1">
      <c r="A243" s="7" t="s">
        <v>15</v>
      </c>
      <c r="B243" s="7">
        <v>50</v>
      </c>
      <c r="C243" s="7" t="s">
        <v>156</v>
      </c>
      <c r="D243" s="8">
        <v>-5.2</v>
      </c>
      <c r="E243" s="12">
        <v>44423.204212962963</v>
      </c>
      <c r="G243" s="9">
        <f>ABS((D243-'(검증1)이상치 검정'!$E$11)/'(검증1)이상치 검정'!$F$11)</f>
        <v>0.74528246842213997</v>
      </c>
      <c r="H243" s="15" t="str">
        <f>IF(G243&gt;'(검증1)이상치 검정'!$G$11,"Alert","")</f>
        <v/>
      </c>
    </row>
    <row r="244" spans="1:8" s="9" customFormat="1">
      <c r="A244" s="7" t="s">
        <v>15</v>
      </c>
      <c r="B244" s="7">
        <v>51</v>
      </c>
      <c r="C244" s="7" t="s">
        <v>157</v>
      </c>
      <c r="D244" s="8">
        <v>-5.0999999999999996</v>
      </c>
      <c r="E244" s="12">
        <v>44423.204907407409</v>
      </c>
      <c r="G244" s="9">
        <f>ABS((D244-'(검증1)이상치 검정'!$E$11)/'(검증1)이상치 검정'!$F$11)</f>
        <v>0.84383221631267147</v>
      </c>
      <c r="H244" s="15" t="str">
        <f>IF(G244&gt;'(검증1)이상치 검정'!$G$11,"Alert","")</f>
        <v/>
      </c>
    </row>
    <row r="245" spans="1:8" s="9" customFormat="1">
      <c r="A245" s="7" t="s">
        <v>15</v>
      </c>
      <c r="B245" s="7">
        <v>52</v>
      </c>
      <c r="C245" s="7" t="s">
        <v>158</v>
      </c>
      <c r="D245" s="8">
        <v>-6.8</v>
      </c>
      <c r="E245" s="12">
        <v>44423.205613425926</v>
      </c>
      <c r="G245" s="9">
        <f>ABS((D245-'(검증1)이상치 검정'!$E$11)/'(검증1)이상치 검정'!$F$11)</f>
        <v>0.83151349782635497</v>
      </c>
      <c r="H245" s="15" t="str">
        <f>IF(G245&gt;'(검증1)이상치 검정'!$G$11,"Alert","")</f>
        <v/>
      </c>
    </row>
    <row r="246" spans="1:8" s="9" customFormat="1">
      <c r="A246" s="7" t="s">
        <v>15</v>
      </c>
      <c r="B246" s="7">
        <v>53</v>
      </c>
      <c r="C246" s="7" t="s">
        <v>159</v>
      </c>
      <c r="D246" s="8">
        <v>-6.6</v>
      </c>
      <c r="E246" s="12">
        <v>44423.206296296295</v>
      </c>
      <c r="G246" s="9">
        <f>ABS((D246-'(검증1)이상치 검정'!$E$11)/'(검증1)이상치 검정'!$F$11)</f>
        <v>0.63441400204529286</v>
      </c>
      <c r="H246" s="15" t="str">
        <f>IF(G246&gt;'(검증1)이상치 검정'!$G$11,"Alert","")</f>
        <v/>
      </c>
    </row>
    <row r="247" spans="1:8" s="9" customFormat="1">
      <c r="A247" s="7" t="s">
        <v>15</v>
      </c>
      <c r="B247" s="7">
        <v>54</v>
      </c>
      <c r="C247" s="7" t="s">
        <v>160</v>
      </c>
      <c r="D247" s="8">
        <v>-6.5</v>
      </c>
      <c r="E247" s="12">
        <v>44423.207002314812</v>
      </c>
      <c r="G247" s="9">
        <f>ABS((D247-'(검증1)이상치 검정'!$E$11)/'(검증1)이상치 검정'!$F$11)</f>
        <v>0.53586425415476224</v>
      </c>
      <c r="H247" s="15" t="str">
        <f>IF(G247&gt;'(검증1)이상치 검정'!$G$11,"Alert","")</f>
        <v/>
      </c>
    </row>
    <row r="248" spans="1:8" s="9" customFormat="1">
      <c r="A248" s="7" t="s">
        <v>15</v>
      </c>
      <c r="B248" s="7">
        <v>55</v>
      </c>
      <c r="C248" s="7" t="s">
        <v>161</v>
      </c>
      <c r="D248" s="8">
        <v>-7.8</v>
      </c>
      <c r="E248" s="12">
        <v>44423.207685185182</v>
      </c>
      <c r="G248" s="9">
        <f>ABS((D248-'(검증1)이상치 검정'!$E$11)/'(검증1)이상치 검정'!$F$11)</f>
        <v>1.8170109767316645</v>
      </c>
      <c r="H248" s="15" t="str">
        <f>IF(G248&gt;'(검증1)이상치 검정'!$G$11,"Alert","")</f>
        <v>Alert</v>
      </c>
    </row>
    <row r="249" spans="1:8" s="9" customFormat="1">
      <c r="A249" s="7" t="s">
        <v>15</v>
      </c>
      <c r="B249" s="7">
        <v>56</v>
      </c>
      <c r="C249" s="7" t="s">
        <v>162</v>
      </c>
      <c r="D249" s="8">
        <v>-7.7</v>
      </c>
      <c r="E249" s="12">
        <v>44423.208379629628</v>
      </c>
      <c r="G249" s="9">
        <f>ABS((D249-'(검증1)이상치 검정'!$E$11)/'(검증1)이상치 검정'!$F$11)</f>
        <v>1.7184612288411338</v>
      </c>
      <c r="H249" s="15" t="str">
        <f>IF(G249&gt;'(검증1)이상치 검정'!$G$11,"Alert","")</f>
        <v>Alert</v>
      </c>
    </row>
    <row r="250" spans="1:8" s="9" customFormat="1">
      <c r="A250" s="7" t="s">
        <v>15</v>
      </c>
      <c r="B250" s="7">
        <v>57</v>
      </c>
      <c r="C250" s="7" t="s">
        <v>163</v>
      </c>
      <c r="D250" s="8">
        <v>-6.3</v>
      </c>
      <c r="E250" s="12">
        <v>44423.209074074075</v>
      </c>
      <c r="G250" s="9">
        <f>ABS((D250-'(검증1)이상치 검정'!$E$11)/'(검증1)이상치 검정'!$F$11)</f>
        <v>0.33876475837370018</v>
      </c>
      <c r="H250" s="15" t="str">
        <f>IF(G250&gt;'(검증1)이상치 검정'!$G$11,"Alert","")</f>
        <v/>
      </c>
    </row>
    <row r="251" spans="1:8" s="9" customFormat="1">
      <c r="A251" s="7" t="s">
        <v>15</v>
      </c>
      <c r="B251" s="7">
        <v>58</v>
      </c>
      <c r="C251" s="7" t="s">
        <v>164</v>
      </c>
      <c r="D251" s="8">
        <v>-6.6</v>
      </c>
      <c r="E251" s="12">
        <v>44423.209780092591</v>
      </c>
      <c r="G251" s="9">
        <f>ABS((D251-'(검증1)이상치 검정'!$E$11)/'(검증1)이상치 검정'!$F$11)</f>
        <v>0.63441400204529286</v>
      </c>
      <c r="H251" s="15" t="str">
        <f>IF(G251&gt;'(검증1)이상치 검정'!$G$11,"Alert","")</f>
        <v/>
      </c>
    </row>
    <row r="252" spans="1:8" s="9" customFormat="1">
      <c r="A252" s="7" t="s">
        <v>15</v>
      </c>
      <c r="B252" s="7">
        <v>59</v>
      </c>
      <c r="C252" s="7" t="s">
        <v>165</v>
      </c>
      <c r="D252" s="8">
        <v>-7</v>
      </c>
      <c r="E252" s="12">
        <v>44423.210462962961</v>
      </c>
      <c r="G252" s="9">
        <f>ABS((D252-'(검증1)이상치 검정'!$E$11)/'(검증1)이상치 검정'!$F$11)</f>
        <v>1.0286129936074171</v>
      </c>
      <c r="H252" s="15" t="str">
        <f>IF(G252&gt;'(검증1)이상치 검정'!$G$11,"Alert","")</f>
        <v/>
      </c>
    </row>
    <row r="253" spans="1:8" s="9" customFormat="1">
      <c r="A253" s="7" t="s">
        <v>15</v>
      </c>
      <c r="B253" s="7">
        <v>60</v>
      </c>
      <c r="C253" s="7" t="s">
        <v>166</v>
      </c>
      <c r="D253" s="8">
        <v>-6.2</v>
      </c>
      <c r="E253" s="12">
        <v>44423.211157407408</v>
      </c>
      <c r="G253" s="9">
        <f>ABS((D253-'(검증1)이상치 검정'!$E$11)/'(검증1)이상치 검정'!$F$11)</f>
        <v>0.24021501048316957</v>
      </c>
      <c r="H253" s="15" t="str">
        <f>IF(G253&gt;'(검증1)이상치 검정'!$G$11,"Alert","")</f>
        <v/>
      </c>
    </row>
    <row r="254" spans="1:8" s="9" customFormat="1">
      <c r="A254" s="7" t="s">
        <v>15</v>
      </c>
      <c r="B254" s="7">
        <v>61</v>
      </c>
      <c r="C254" s="7" t="s">
        <v>167</v>
      </c>
      <c r="D254" s="8">
        <v>-5.7</v>
      </c>
      <c r="E254" s="12">
        <v>44423.211851851855</v>
      </c>
      <c r="G254" s="9">
        <f>ABS((D254-'(검증1)이상치 검정'!$E$11)/'(검증1)이상치 검정'!$F$11)</f>
        <v>0.25253372896948523</v>
      </c>
      <c r="H254" s="15" t="str">
        <f>IF(G254&gt;'(검증1)이상치 검정'!$G$11,"Alert","")</f>
        <v/>
      </c>
    </row>
    <row r="255" spans="1:8" s="9" customFormat="1">
      <c r="A255" s="7" t="s">
        <v>15</v>
      </c>
      <c r="B255" s="7">
        <v>62</v>
      </c>
      <c r="C255" s="7" t="s">
        <v>168</v>
      </c>
      <c r="D255" s="8">
        <v>-6.7</v>
      </c>
      <c r="E255" s="12">
        <v>44423.212557870371</v>
      </c>
      <c r="G255" s="9">
        <f>ABS((D255-'(검증1)이상치 검정'!$E$11)/'(검증1)이상치 검정'!$F$11)</f>
        <v>0.73296374993582436</v>
      </c>
      <c r="H255" s="15" t="str">
        <f>IF(G255&gt;'(검증1)이상치 검정'!$G$11,"Alert","")</f>
        <v/>
      </c>
    </row>
    <row r="256" spans="1:8" s="9" customFormat="1">
      <c r="A256" s="7" t="s">
        <v>15</v>
      </c>
      <c r="B256" s="7">
        <v>63</v>
      </c>
      <c r="C256" s="7" t="s">
        <v>169</v>
      </c>
      <c r="D256" s="8">
        <v>-5.2</v>
      </c>
      <c r="E256" s="12">
        <v>44423.213240740741</v>
      </c>
      <c r="G256" s="9">
        <f>ABS((D256-'(검증1)이상치 검정'!$E$11)/'(검증1)이상치 검정'!$F$11)</f>
        <v>0.74528246842213997</v>
      </c>
      <c r="H256" s="15" t="str">
        <f>IF(G256&gt;'(검증1)이상치 검정'!$G$11,"Alert","")</f>
        <v/>
      </c>
    </row>
    <row r="257" spans="1:8" s="9" customFormat="1">
      <c r="A257" s="7" t="s">
        <v>15</v>
      </c>
      <c r="B257" s="7">
        <v>64</v>
      </c>
      <c r="C257" s="7" t="s">
        <v>170</v>
      </c>
      <c r="D257" s="8">
        <v>-5.0999999999999996</v>
      </c>
      <c r="E257" s="12">
        <v>44423.213946759257</v>
      </c>
      <c r="G257" s="9">
        <f>ABS((D257-'(검증1)이상치 검정'!$E$11)/'(검증1)이상치 검정'!$F$11)</f>
        <v>0.84383221631267147</v>
      </c>
      <c r="H257" s="15" t="str">
        <f>IF(G257&gt;'(검증1)이상치 검정'!$G$11,"Alert","")</f>
        <v/>
      </c>
    </row>
  </sheetData>
  <autoFilter ref="A1:F257" xr:uid="{00000000-0009-0000-0000-000003000000}"/>
  <sortState xmlns:xlrd2="http://schemas.microsoft.com/office/spreadsheetml/2017/richdata2" ref="A2:E257">
    <sortCondition ref="A2:A257"/>
    <sortCondition ref="E2:E257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(검증1)이상치 검정</vt:lpstr>
      <vt:lpstr>(검증2)개별 Trend Chart</vt:lpstr>
      <vt:lpstr>01 정보1</vt:lpstr>
      <vt:lpstr>02 정보2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Jaeho BAE</dc:creator>
  <cp:lastModifiedBy>BAE Jaeho</cp:lastModifiedBy>
  <dcterms:created xsi:type="dcterms:W3CDTF">2021-09-06T04:56:14Z</dcterms:created>
  <dcterms:modified xsi:type="dcterms:W3CDTF">2022-02-07T08:34:44Z</dcterms:modified>
</cp:coreProperties>
</file>